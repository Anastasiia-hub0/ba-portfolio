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anastasiiatkachenko/Downloads/"/>
    </mc:Choice>
  </mc:AlternateContent>
  <xr:revisionPtr revIDLastSave="0" documentId="8_{856CB9D8-1AE6-CA4C-8D85-94690327CC12}" xr6:coauthVersionLast="47" xr6:coauthVersionMax="47" xr10:uidLastSave="{00000000-0000-0000-0000-000000000000}"/>
  <bookViews>
    <workbookView xWindow="0" yWindow="660" windowWidth="30240" windowHeight="18980" activeTab="3" xr2:uid="{00000000-000D-0000-FFFF-FFFF00000000}"/>
  </bookViews>
  <sheets>
    <sheet name="Sheet1" sheetId="4" r:id="rId1"/>
    <sheet name="Sheet2" sheetId="5" r:id="rId2"/>
    <sheet name="Order Analysis" sheetId="6" r:id="rId3"/>
    <sheet name="orders" sheetId="1" r:id="rId4"/>
    <sheet name="clients" sheetId="2" r:id="rId5"/>
  </sheets>
  <calcPr calcId="191029"/>
  <pivotCaches>
    <pivotCache cacheId="12" r:id="rId6"/>
    <pivotCache cacheId="1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2" i="1"/>
</calcChain>
</file>

<file path=xl/sharedStrings.xml><?xml version="1.0" encoding="utf-8"?>
<sst xmlns="http://schemas.openxmlformats.org/spreadsheetml/2006/main" count="602" uniqueCount="140">
  <si>
    <t>Date</t>
  </si>
  <si>
    <t>Order ID</t>
  </si>
  <si>
    <t>Client</t>
  </si>
  <si>
    <t>Service</t>
  </si>
  <si>
    <t>City</t>
  </si>
  <si>
    <t>Price</t>
  </si>
  <si>
    <t>Done by</t>
  </si>
  <si>
    <t>Paid</t>
  </si>
  <si>
    <t>W-1052</t>
  </si>
  <si>
    <t>Harbour Offices</t>
  </si>
  <si>
    <t>After renovation</t>
  </si>
  <si>
    <t>Tralee</t>
  </si>
  <si>
    <t>Own cleaners</t>
  </si>
  <si>
    <t>Yes</t>
  </si>
  <si>
    <t>W-1055</t>
  </si>
  <si>
    <t>Meadow Court</t>
  </si>
  <si>
    <t>Subcontractor</t>
  </si>
  <si>
    <t>W-1066</t>
  </si>
  <si>
    <t>Fern House</t>
  </si>
  <si>
    <t>Deep clean</t>
  </si>
  <si>
    <t>Cork</t>
  </si>
  <si>
    <t>W-1088</t>
  </si>
  <si>
    <t>Castle View</t>
  </si>
  <si>
    <t>Dublin</t>
  </si>
  <si>
    <t>W-1001</t>
  </si>
  <si>
    <t>Riverside B&amp;B</t>
  </si>
  <si>
    <t>Limerick</t>
  </si>
  <si>
    <t>W-1054</t>
  </si>
  <si>
    <t>Oak Lodge</t>
  </si>
  <si>
    <t>W-1007</t>
  </si>
  <si>
    <t>W-1053</t>
  </si>
  <si>
    <t>W-1059</t>
  </si>
  <si>
    <t>Lakeside Cottage</t>
  </si>
  <si>
    <t>Office clean</t>
  </si>
  <si>
    <t>Killarney</t>
  </si>
  <si>
    <t>W-1039</t>
  </si>
  <si>
    <t>W-1041</t>
  </si>
  <si>
    <t>Carpet clean</t>
  </si>
  <si>
    <t>W-1044</t>
  </si>
  <si>
    <t>End of tenancy</t>
  </si>
  <si>
    <t>W-1058</t>
  </si>
  <si>
    <t>W-1005</t>
  </si>
  <si>
    <t>W-1021</t>
  </si>
  <si>
    <t>W-1051</t>
  </si>
  <si>
    <t>W-1073</t>
  </si>
  <si>
    <t>Airbnb turnover</t>
  </si>
  <si>
    <t>No</t>
  </si>
  <si>
    <t>W-1081</t>
  </si>
  <si>
    <t>W-1019</t>
  </si>
  <si>
    <t>W-1017</t>
  </si>
  <si>
    <t>W-1026</t>
  </si>
  <si>
    <t>W-1004</t>
  </si>
  <si>
    <t>W-1035</t>
  </si>
  <si>
    <t>W-1002</t>
  </si>
  <si>
    <t>W-1029</t>
  </si>
  <si>
    <t>W-1048</t>
  </si>
  <si>
    <t>W-1031</t>
  </si>
  <si>
    <t>W-1071</t>
  </si>
  <si>
    <t>W-1014</t>
  </si>
  <si>
    <t>W-1056</t>
  </si>
  <si>
    <t>W-1020</t>
  </si>
  <si>
    <t>W-1078</t>
  </si>
  <si>
    <t>W-1063</t>
  </si>
  <si>
    <t>W-1027</t>
  </si>
  <si>
    <t>W-1075</t>
  </si>
  <si>
    <t>W-1034</t>
  </si>
  <si>
    <t>W-1032</t>
  </si>
  <si>
    <t>W-1084</t>
  </si>
  <si>
    <t>Seaview Apartments</t>
  </si>
  <si>
    <t>W-1016</t>
  </si>
  <si>
    <t>W-1000</t>
  </si>
  <si>
    <t>W-1025</t>
  </si>
  <si>
    <t>W-1043</t>
  </si>
  <si>
    <t>W-1010</t>
  </si>
  <si>
    <t>W-1083</t>
  </si>
  <si>
    <t>W-1030</t>
  </si>
  <si>
    <t>W-1086</t>
  </si>
  <si>
    <t>W-1022</t>
  </si>
  <si>
    <t>W-1076</t>
  </si>
  <si>
    <t>W-1057</t>
  </si>
  <si>
    <t>W-1023</t>
  </si>
  <si>
    <t>W-1049</t>
  </si>
  <si>
    <t>W-1046</t>
  </si>
  <si>
    <t>W-1015</t>
  </si>
  <si>
    <t>W-1006</t>
  </si>
  <si>
    <t>W-1008</t>
  </si>
  <si>
    <t>W-1089</t>
  </si>
  <si>
    <t>W-1028</t>
  </si>
  <si>
    <t>W-1040</t>
  </si>
  <si>
    <t>W-1072</t>
  </si>
  <si>
    <t>W-1003</t>
  </si>
  <si>
    <t>W-1060</t>
  </si>
  <si>
    <t>W-1077</t>
  </si>
  <si>
    <t>W-1050</t>
  </si>
  <si>
    <t>W-1012</t>
  </si>
  <si>
    <t>W-1082</t>
  </si>
  <si>
    <t>W-1013</t>
  </si>
  <si>
    <t>W-1038</t>
  </si>
  <si>
    <t>W-1062</t>
  </si>
  <si>
    <t>W-1064</t>
  </si>
  <si>
    <t>W-1037</t>
  </si>
  <si>
    <t>W-1018</t>
  </si>
  <si>
    <t>W-1047</t>
  </si>
  <si>
    <t>W-1061</t>
  </si>
  <si>
    <t>W-1011</t>
  </si>
  <si>
    <t>W-1074</t>
  </si>
  <si>
    <t>W-1087</t>
  </si>
  <si>
    <t>W-1009</t>
  </si>
  <si>
    <t>W-1069</t>
  </si>
  <si>
    <t>W-1036</t>
  </si>
  <si>
    <t>W-1045</t>
  </si>
  <si>
    <t>W-1079</t>
  </si>
  <si>
    <t>W-1080</t>
  </si>
  <si>
    <t>W-1067</t>
  </si>
  <si>
    <t>W-1033</t>
  </si>
  <si>
    <t>W-1085</t>
  </si>
  <si>
    <t>W-1042</t>
  </si>
  <si>
    <t>W-1024</t>
  </si>
  <si>
    <t>W-1065</t>
  </si>
  <si>
    <t>W-1068</t>
  </si>
  <si>
    <t>W-1070</t>
  </si>
  <si>
    <t>Client type</t>
  </si>
  <si>
    <t>Recurring</t>
  </si>
  <si>
    <t>New</t>
  </si>
  <si>
    <t>#</t>
  </si>
  <si>
    <t>Row Labels</t>
  </si>
  <si>
    <t>Grand Total</t>
  </si>
  <si>
    <t>Average of Price</t>
  </si>
  <si>
    <t>Client Type</t>
  </si>
  <si>
    <t>Findings - data analysis, Jan-Aug 2026</t>
  </si>
  <si>
    <t xml:space="preserve">Findings </t>
  </si>
  <si>
    <t>Evidence</t>
  </si>
  <si>
    <t>So What</t>
  </si>
  <si>
    <t>Revenue is split almost evenly between recurring and new clients</t>
  </si>
  <si>
    <t>Recurring €11,010 (52%), new €10,269 (48%), 90 orders in total</t>
  </si>
  <si>
    <t>Losing one recurring client costs as much as losing several new ones</t>
  </si>
  <si>
    <t>Recurring clients bring more revenue from fewer jobs</t>
  </si>
  <si>
    <t>Recurring: 41 orders, average €269. New: 49 orders, average €210 — 28% lower</t>
  </si>
  <si>
    <t>Converting a new client into a recurring one raises the average order value and removes the quoting steps from every job</t>
  </si>
  <si>
    <t>Synthetic data. Structure based on a real order sheet; all clients and figures are invented. Real data is confidential and not shown.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</si>
</sst>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\€#,##0"/>
  </numFmts>
  <fonts count="10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color rgb="FFFFFFFF"/>
      <name val="Arial"/>
      <family val="2"/>
    </font>
    <font>
      <sz val="8"/>
      <name val="Calibri"/>
      <family val="2"/>
      <scheme val="minor"/>
    </font>
    <font>
      <b/>
      <sz val="20"/>
      <color theme="1"/>
      <name val="Calibri (Body)"/>
    </font>
    <font>
      <sz val="14"/>
      <color theme="1"/>
      <name val="Calibri (Body)"/>
    </font>
    <font>
      <sz val="14"/>
      <color rgb="FF000000"/>
      <name val="-webkit-standard"/>
    </font>
    <font>
      <b/>
      <sz val="11"/>
      <color rgb="FF000000"/>
      <name val="Calibri"/>
      <family val="2"/>
      <scheme val="minor"/>
    </font>
    <font>
      <sz val="10"/>
      <color rgb="FF14181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14" fontId="2" fillId="0" borderId="0" xfId="0" applyNumberFormat="1" applyFont="1"/>
    <xf numFmtId="0" fontId="2" fillId="0" borderId="0" xfId="0" applyFont="1"/>
    <xf numFmtId="165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3" fillId="2" borderId="0" xfId="0" applyFont="1" applyFill="1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[order_analysis.xlsx]Sheet1!PivotTable1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price by service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Sheet1!$A$4:$A$10</c:f>
              <c:strCache>
                <c:ptCount val="6"/>
                <c:pt idx="0">
                  <c:v>After renovation</c:v>
                </c:pt>
                <c:pt idx="1">
                  <c:v>Airbnb turnover</c:v>
                </c:pt>
                <c:pt idx="2">
                  <c:v>Carpet clean</c:v>
                </c:pt>
                <c:pt idx="3">
                  <c:v>Deep clean</c:v>
                </c:pt>
                <c:pt idx="4">
                  <c:v>End of tenancy</c:v>
                </c:pt>
                <c:pt idx="5">
                  <c:v>Office clean</c:v>
                </c:pt>
              </c:strCache>
            </c:strRef>
          </c:cat>
          <c:val>
            <c:numRef>
              <c:f>Sheet1!$B$4:$B$10</c:f>
              <c:numCache>
                <c:formatCode>\€#,##0</c:formatCode>
                <c:ptCount val="6"/>
                <c:pt idx="0">
                  <c:v>433.88888888888891</c:v>
                </c:pt>
                <c:pt idx="1">
                  <c:v>100.35</c:v>
                </c:pt>
                <c:pt idx="2">
                  <c:v>205.30769230769232</c:v>
                </c:pt>
                <c:pt idx="3">
                  <c:v>295</c:v>
                </c:pt>
                <c:pt idx="4">
                  <c:v>280.33333333333331</c:v>
                </c:pt>
                <c:pt idx="5">
                  <c:v>125.93333333333334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8E-5247-9D61-801C32215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488255"/>
        <c:axId val="6074175"/>
      </c:barChart>
      <c:catAx>
        <c:axId val="3848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4175"/>
        <c:crosses val="autoZero"/>
        <c:auto val="1"/>
        <c:lblAlgn val="ctr"/>
        <c:lblOffset val="100"/>
        <c:noMultiLvlLbl val="0"/>
      </c:catAx>
      <c:valAx>
        <c:axId val="607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€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88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[order_analysis.xlsx]Sheet2!PivotTable2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order value</a:t>
            </a:r>
            <a:r>
              <a:rPr lang="en-GB"/>
              <a:t> by client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Sheet2!$A$4:$A$6</c:f>
              <c:strCache>
                <c:ptCount val="2"/>
                <c:pt idx="0">
                  <c:v>New</c:v>
                </c:pt>
                <c:pt idx="1">
                  <c:v>Recurring</c:v>
                </c:pt>
              </c:strCache>
            </c:strRef>
          </c:cat>
          <c:val>
            <c:numRef>
              <c:f>Sheet2!$B$4:$B$6</c:f>
              <c:numCache>
                <c:formatCode>\€#,##0</c:formatCode>
                <c:ptCount val="2"/>
                <c:pt idx="0">
                  <c:v>209.57142857142858</c:v>
                </c:pt>
                <c:pt idx="1">
                  <c:v>268.53658536585368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53-6842-9ACA-E89B2F108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2368064"/>
        <c:axId val="2002369856"/>
      </c:barChart>
      <c:catAx>
        <c:axId val="200236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369856"/>
        <c:crosses val="autoZero"/>
        <c:auto val="1"/>
        <c:lblAlgn val="ctr"/>
        <c:lblOffset val="100"/>
        <c:noMultiLvlLbl val="0"/>
      </c:catAx>
      <c:valAx>
        <c:axId val="200236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€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36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640934</xdr:colOff>
      <xdr:row>3</xdr:row>
      <xdr:rowOff>0</xdr:rowOff>
    </xdr:from>
    <xdr:to>
      <xdr:col>14</xdr:col>
      <xdr:colOff>700279</xdr:colOff>
      <xdr:row>32</xdr:row>
      <xdr:rowOff>154299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67D740-B1E4-1DF3-CEA3-681A94CBDE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469900</xdr:colOff>
      <xdr:row>4</xdr:row>
      <xdr:rowOff>152400</xdr:rowOff>
    </xdr:from>
    <xdr:to>
      <xdr:col>15</xdr:col>
      <xdr:colOff>749300</xdr:colOff>
      <xdr:row>30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2980A4-F723-6C8D-6D2A-554DB1477D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stasiia Tkachenko" refreshedDate="46278.848962731485" createdVersion="8" refreshedVersion="8" minRefreshableVersion="3" recordCount="90" xr:uid="{68BC19A4-5676-3244-8EBC-490D5E094F44}">
  <cacheSource type="worksheet">
    <worksheetSource ref="A1:H91" sheet="orders"/>
  </cacheSource>
  <cacheFields count="9">
    <cacheField name="Date" numFmtId="14">
      <sharedItems containsSemiMixedTypes="0" containsNonDate="0" containsDate="1" containsString="0" minDate="2026-01-02T00:00:00" maxDate="2026-08-30T00:00:00" count="75">
        <d v="2026-01-02T00:00:00"/>
        <d v="2026-01-08T00:00:00"/>
        <d v="2026-01-11T00:00:00"/>
        <d v="2026-01-15T00:00:00"/>
        <d v="2026-01-16T00:00:00"/>
        <d v="2026-01-19T00:00:00"/>
        <d v="2026-01-21T00:00:00"/>
        <d v="2026-01-22T00:00:00"/>
        <d v="2026-02-02T00:00:00"/>
        <d v="2026-02-05T00:00:00"/>
        <d v="2026-02-06T00:00:00"/>
        <d v="2026-02-08T00:00:00"/>
        <d v="2026-02-11T00:00:00"/>
        <d v="2026-02-12T00:00:00"/>
        <d v="2026-02-13T00:00:00"/>
        <d v="2026-02-18T00:00:00"/>
        <d v="2026-02-26T00:00:00"/>
        <d v="2026-02-27T00:00:00"/>
        <d v="2026-03-03T00:00:00"/>
        <d v="2026-03-06T00:00:00"/>
        <d v="2026-03-09T00:00:00"/>
        <d v="2026-03-11T00:00:00"/>
        <d v="2026-03-12T00:00:00"/>
        <d v="2026-03-13T00:00:00"/>
        <d v="2026-03-20T00:00:00"/>
        <d v="2026-03-23T00:00:00"/>
        <d v="2026-03-29T00:00:00"/>
        <d v="2026-03-30T00:00:00"/>
        <d v="2026-04-02T00:00:00"/>
        <d v="2026-04-03T00:00:00"/>
        <d v="2026-04-04T00:00:00"/>
        <d v="2026-04-09T00:00:00"/>
        <d v="2026-04-12T00:00:00"/>
        <d v="2026-04-13T00:00:00"/>
        <d v="2026-04-25T00:00:00"/>
        <d v="2026-04-28T00:00:00"/>
        <d v="2026-04-30T00:00:00"/>
        <d v="2026-05-02T00:00:00"/>
        <d v="2026-05-05T00:00:00"/>
        <d v="2026-05-10T00:00:00"/>
        <d v="2026-05-14T00:00:00"/>
        <d v="2026-05-17T00:00:00"/>
        <d v="2026-05-20T00:00:00"/>
        <d v="2026-05-21T00:00:00"/>
        <d v="2026-05-28T00:00:00"/>
        <d v="2026-05-29T00:00:00"/>
        <d v="2026-05-30T00:00:00"/>
        <d v="2026-06-07T00:00:00"/>
        <d v="2026-06-09T00:00:00"/>
        <d v="2026-06-11T00:00:00"/>
        <d v="2026-06-14T00:00:00"/>
        <d v="2026-06-18T00:00:00"/>
        <d v="2026-06-19T00:00:00"/>
        <d v="2026-06-21T00:00:00"/>
        <d v="2026-06-27T00:00:00"/>
        <d v="2026-06-30T00:00:00"/>
        <d v="2026-07-07T00:00:00"/>
        <d v="2026-07-09T00:00:00"/>
        <d v="2026-07-11T00:00:00"/>
        <d v="2026-07-13T00:00:00"/>
        <d v="2026-07-14T00:00:00"/>
        <d v="2026-07-18T00:00:00"/>
        <d v="2026-07-19T00:00:00"/>
        <d v="2026-07-24T00:00:00"/>
        <d v="2026-07-29T00:00:00"/>
        <d v="2026-07-31T00:00:00"/>
        <d v="2026-08-02T00:00:00"/>
        <d v="2026-08-03T00:00:00"/>
        <d v="2026-08-06T00:00:00"/>
        <d v="2026-08-10T00:00:00"/>
        <d v="2026-08-14T00:00:00"/>
        <d v="2026-08-16T00:00:00"/>
        <d v="2026-08-19T00:00:00"/>
        <d v="2026-08-24T00:00:00"/>
        <d v="2026-08-29T00:00:00"/>
      </sharedItems>
      <fieldGroup par="8"/>
    </cacheField>
    <cacheField name="Order ID" numFmtId="0">
      <sharedItems count="90">
        <s v="W-1052"/>
        <s v="W-1055"/>
        <s v="W-1066"/>
        <s v="W-1088"/>
        <s v="W-1001"/>
        <s v="W-1054"/>
        <s v="W-1007"/>
        <s v="W-1053"/>
        <s v="W-1059"/>
        <s v="W-1039"/>
        <s v="W-1041"/>
        <s v="W-1044"/>
        <s v="W-1058"/>
        <s v="W-1005"/>
        <s v="W-1021"/>
        <s v="W-1051"/>
        <s v="W-1073"/>
        <s v="W-1081"/>
        <s v="W-1019"/>
        <s v="W-1017"/>
        <s v="W-1026"/>
        <s v="W-1004"/>
        <s v="W-1035"/>
        <s v="W-1002"/>
        <s v="W-1029"/>
        <s v="W-1048"/>
        <s v="W-1031"/>
        <s v="W-1071"/>
        <s v="W-1014"/>
        <s v="W-1056"/>
        <s v="W-1020"/>
        <s v="W-1078"/>
        <s v="W-1063"/>
        <s v="W-1027"/>
        <s v="W-1075"/>
        <s v="W-1034"/>
        <s v="W-1032"/>
        <s v="W-1084"/>
        <s v="W-1016"/>
        <s v="W-1000"/>
        <s v="W-1025"/>
        <s v="W-1043"/>
        <s v="W-1010"/>
        <s v="W-1083"/>
        <s v="W-1030"/>
        <s v="W-1086"/>
        <s v="W-1022"/>
        <s v="W-1076"/>
        <s v="W-1057"/>
        <s v="W-1023"/>
        <s v="W-1049"/>
        <s v="W-1046"/>
        <s v="W-1015"/>
        <s v="W-1006"/>
        <s v="W-1008"/>
        <s v="W-1089"/>
        <s v="W-1028"/>
        <s v="W-1040"/>
        <s v="W-1072"/>
        <s v="W-1003"/>
        <s v="W-1060"/>
        <s v="W-1077"/>
        <s v="W-1050"/>
        <s v="W-1012"/>
        <s v="W-1082"/>
        <s v="W-1013"/>
        <s v="W-1038"/>
        <s v="W-1062"/>
        <s v="W-1064"/>
        <s v="W-1037"/>
        <s v="W-1018"/>
        <s v="W-1047"/>
        <s v="W-1061"/>
        <s v="W-1011"/>
        <s v="W-1074"/>
        <s v="W-1087"/>
        <s v="W-1009"/>
        <s v="W-1069"/>
        <s v="W-1036"/>
        <s v="W-1045"/>
        <s v="W-1079"/>
        <s v="W-1080"/>
        <s v="W-1067"/>
        <s v="W-1033"/>
        <s v="W-1085"/>
        <s v="W-1042"/>
        <s v="W-1024"/>
        <s v="W-1065"/>
        <s v="W-1068"/>
        <s v="W-1070"/>
      </sharedItems>
    </cacheField>
    <cacheField name="Client" numFmtId="0">
      <sharedItems count="8">
        <s v="Harbour Offices"/>
        <s v="Meadow Court"/>
        <s v="Fern House"/>
        <s v="Castle View"/>
        <s v="Riverside B&amp;B"/>
        <s v="Oak Lodge"/>
        <s v="Lakeside Cottage"/>
        <s v="Seaview Apartments"/>
      </sharedItems>
    </cacheField>
    <cacheField name="Service" numFmtId="0">
      <sharedItems count="6">
        <s v="After renovation"/>
        <s v="Deep clean"/>
        <s v="Office clean"/>
        <s v="Carpet clean"/>
        <s v="End of tenancy"/>
        <s v="Airbnb turnover"/>
      </sharedItems>
    </cacheField>
    <cacheField name="City" numFmtId="0">
      <sharedItems/>
    </cacheField>
    <cacheField name="Price" numFmtId="165">
      <sharedItems containsSemiMixedTypes="0" containsString="0" containsNumber="1" containsInteger="1" minValue="73" maxValue="590"/>
    </cacheField>
    <cacheField name="Done by" numFmtId="0">
      <sharedItems/>
    </cacheField>
    <cacheField name="Paid" numFmtId="0">
      <sharedItems/>
    </cacheField>
    <cacheField name="Months (Date)" numFmtId="0" databaseField="0">
      <fieldGroup base="0">
        <rangePr groupBy="months" startDate="2026-01-02T00:00:00" endDate="2026-08-30T00:00:00"/>
        <groupItems count="14">
          <s v="&lt;02/0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/08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stasiia Tkachenko" refreshedDate="46279.664063657408" createdVersion="8" refreshedVersion="8" minRefreshableVersion="3" recordCount="90" xr:uid="{0BD86643-1323-A640-B170-4EE8BA5B7BB9}">
  <cacheSource type="worksheet">
    <worksheetSource ref="A1:I91" sheet="orders"/>
  </cacheSource>
  <cacheFields count="9">
    <cacheField name="Date" numFmtId="14">
      <sharedItems containsSemiMixedTypes="0" containsNonDate="0" containsDate="1" containsString="0" minDate="2026-01-02T00:00:00" maxDate="2026-08-30T00:00:00"/>
    </cacheField>
    <cacheField name="Order ID" numFmtId="0">
      <sharedItems/>
    </cacheField>
    <cacheField name="Client" numFmtId="0">
      <sharedItems/>
    </cacheField>
    <cacheField name="Service" numFmtId="0">
      <sharedItems/>
    </cacheField>
    <cacheField name="City" numFmtId="0">
      <sharedItems/>
    </cacheField>
    <cacheField name="Price" numFmtId="165">
      <sharedItems containsSemiMixedTypes="0" containsString="0" containsNumber="1" containsInteger="1" minValue="73" maxValue="590" count="82">
        <n v="522"/>
        <n v="516"/>
        <n v="426"/>
        <n v="388"/>
        <n v="568"/>
        <n v="337"/>
        <n v="467"/>
        <n v="364"/>
        <n v="105"/>
        <n v="255"/>
        <n v="237"/>
        <n v="186"/>
        <n v="119"/>
        <n v="128"/>
        <n v="197"/>
        <n v="433"/>
        <n v="88"/>
        <n v="94"/>
        <n v="101"/>
        <n v="353"/>
        <n v="75"/>
        <n v="73"/>
        <n v="206"/>
        <n v="76"/>
        <n v="254"/>
        <n v="85"/>
        <n v="187"/>
        <n v="130"/>
        <n v="103"/>
        <n v="183"/>
        <n v="497"/>
        <n v="491"/>
        <n v="223"/>
        <n v="112"/>
        <n v="401"/>
        <n v="334"/>
        <n v="301"/>
        <n v="440"/>
        <n v="244"/>
        <n v="310"/>
        <n v="118"/>
        <n v="142"/>
        <n v="160"/>
        <n v="83"/>
        <n v="124"/>
        <n v="90"/>
        <n v="243"/>
        <n v="116"/>
        <n v="305"/>
        <n v="296"/>
        <n v="259"/>
        <n v="110"/>
        <n v="155"/>
        <n v="137"/>
        <n v="159"/>
        <n v="232"/>
        <n v="212"/>
        <n v="127"/>
        <n v="131"/>
        <n v="590"/>
        <n v="288"/>
        <n v="266"/>
        <n v="91"/>
        <n v="207"/>
        <n v="230"/>
        <n v="577"/>
        <n v="371"/>
        <n v="248"/>
        <n v="322"/>
        <n v="252"/>
        <n v="154"/>
        <n v="260"/>
        <n v="459"/>
        <n v="356"/>
        <n v="79"/>
        <n v="133"/>
        <n v="92"/>
        <n v="102"/>
        <n v="151"/>
        <n v="125"/>
        <n v="430"/>
        <n v="204"/>
      </sharedItems>
    </cacheField>
    <cacheField name="Done by" numFmtId="0">
      <sharedItems/>
    </cacheField>
    <cacheField name="Paid" numFmtId="0">
      <sharedItems/>
    </cacheField>
    <cacheField name="Client Type" numFmtId="0">
      <sharedItems count="2">
        <s v="Recurring"/>
        <s v="Ne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x v="0"/>
    <x v="0"/>
    <s v="Tralee"/>
    <n v="522"/>
    <s v="Own cleaners"/>
    <s v="Yes"/>
  </r>
  <r>
    <x v="1"/>
    <x v="1"/>
    <x v="1"/>
    <x v="0"/>
    <s v="Tralee"/>
    <n v="516"/>
    <s v="Subcontractor"/>
    <s v="Yes"/>
  </r>
  <r>
    <x v="2"/>
    <x v="2"/>
    <x v="2"/>
    <x v="1"/>
    <s v="Cork"/>
    <n v="426"/>
    <s v="Subcontractor"/>
    <s v="Yes"/>
  </r>
  <r>
    <x v="2"/>
    <x v="3"/>
    <x v="3"/>
    <x v="0"/>
    <s v="Dublin"/>
    <n v="388"/>
    <s v="Subcontractor"/>
    <s v="Yes"/>
  </r>
  <r>
    <x v="3"/>
    <x v="4"/>
    <x v="4"/>
    <x v="0"/>
    <s v="Limerick"/>
    <n v="568"/>
    <s v="Own cleaners"/>
    <s v="Yes"/>
  </r>
  <r>
    <x v="3"/>
    <x v="5"/>
    <x v="5"/>
    <x v="0"/>
    <s v="Tralee"/>
    <n v="337"/>
    <s v="Own cleaners"/>
    <s v="Yes"/>
  </r>
  <r>
    <x v="4"/>
    <x v="6"/>
    <x v="5"/>
    <x v="0"/>
    <s v="Tralee"/>
    <n v="467"/>
    <s v="Own cleaners"/>
    <s v="Yes"/>
  </r>
  <r>
    <x v="4"/>
    <x v="7"/>
    <x v="5"/>
    <x v="0"/>
    <s v="Tralee"/>
    <n v="364"/>
    <s v="Own cleaners"/>
    <s v="Yes"/>
  </r>
  <r>
    <x v="5"/>
    <x v="8"/>
    <x v="6"/>
    <x v="2"/>
    <s v="Killarney"/>
    <n v="105"/>
    <s v="Own cleaners"/>
    <s v="Yes"/>
  </r>
  <r>
    <x v="6"/>
    <x v="9"/>
    <x v="4"/>
    <x v="1"/>
    <s v="Limerick"/>
    <n v="255"/>
    <s v="Own cleaners"/>
    <s v="Yes"/>
  </r>
  <r>
    <x v="7"/>
    <x v="10"/>
    <x v="4"/>
    <x v="3"/>
    <s v="Limerick"/>
    <n v="237"/>
    <s v="Own cleaners"/>
    <s v="Yes"/>
  </r>
  <r>
    <x v="8"/>
    <x v="11"/>
    <x v="0"/>
    <x v="4"/>
    <s v="Tralee"/>
    <n v="186"/>
    <s v="Own cleaners"/>
    <s v="Yes"/>
  </r>
  <r>
    <x v="9"/>
    <x v="12"/>
    <x v="6"/>
    <x v="2"/>
    <s v="Killarney"/>
    <n v="119"/>
    <s v="Own cleaners"/>
    <s v="Yes"/>
  </r>
  <r>
    <x v="10"/>
    <x v="13"/>
    <x v="2"/>
    <x v="2"/>
    <s v="Cork"/>
    <n v="128"/>
    <s v="Subcontractor"/>
    <s v="Yes"/>
  </r>
  <r>
    <x v="11"/>
    <x v="14"/>
    <x v="3"/>
    <x v="4"/>
    <s v="Dublin"/>
    <n v="197"/>
    <s v="Subcontractor"/>
    <s v="Yes"/>
  </r>
  <r>
    <x v="11"/>
    <x v="15"/>
    <x v="0"/>
    <x v="0"/>
    <s v="Tralee"/>
    <n v="433"/>
    <s v="Own cleaners"/>
    <s v="Yes"/>
  </r>
  <r>
    <x v="12"/>
    <x v="16"/>
    <x v="6"/>
    <x v="5"/>
    <s v="Killarney"/>
    <n v="88"/>
    <s v="Own cleaners"/>
    <s v="No"/>
  </r>
  <r>
    <x v="12"/>
    <x v="17"/>
    <x v="2"/>
    <x v="2"/>
    <s v="Cork"/>
    <n v="94"/>
    <s v="Subcontractor"/>
    <s v="Yes"/>
  </r>
  <r>
    <x v="13"/>
    <x v="18"/>
    <x v="1"/>
    <x v="5"/>
    <s v="Tralee"/>
    <n v="101"/>
    <s v="Own cleaners"/>
    <s v="No"/>
  </r>
  <r>
    <x v="14"/>
    <x v="19"/>
    <x v="1"/>
    <x v="1"/>
    <s v="Tralee"/>
    <n v="353"/>
    <s v="Own cleaners"/>
    <s v="Yes"/>
  </r>
  <r>
    <x v="15"/>
    <x v="20"/>
    <x v="3"/>
    <x v="5"/>
    <s v="Dublin"/>
    <n v="75"/>
    <s v="Subcontractor"/>
    <s v="Yes"/>
  </r>
  <r>
    <x v="16"/>
    <x v="21"/>
    <x v="3"/>
    <x v="5"/>
    <s v="Dublin"/>
    <n v="73"/>
    <s v="Subcontractor"/>
    <s v="Yes"/>
  </r>
  <r>
    <x v="17"/>
    <x v="22"/>
    <x v="4"/>
    <x v="3"/>
    <s v="Limerick"/>
    <n v="206"/>
    <s v="Own cleaners"/>
    <s v="Yes"/>
  </r>
  <r>
    <x v="18"/>
    <x v="23"/>
    <x v="3"/>
    <x v="5"/>
    <s v="Dublin"/>
    <n v="76"/>
    <s v="Subcontractor"/>
    <s v="Yes"/>
  </r>
  <r>
    <x v="19"/>
    <x v="24"/>
    <x v="0"/>
    <x v="3"/>
    <s v="Tralee"/>
    <n v="254"/>
    <s v="Own cleaners"/>
    <s v="Yes"/>
  </r>
  <r>
    <x v="19"/>
    <x v="25"/>
    <x v="6"/>
    <x v="5"/>
    <s v="Killarney"/>
    <n v="85"/>
    <s v="Own cleaners"/>
    <s v="Yes"/>
  </r>
  <r>
    <x v="20"/>
    <x v="26"/>
    <x v="4"/>
    <x v="3"/>
    <s v="Limerick"/>
    <n v="187"/>
    <s v="Own cleaners"/>
    <s v="Yes"/>
  </r>
  <r>
    <x v="20"/>
    <x v="27"/>
    <x v="6"/>
    <x v="5"/>
    <s v="Killarney"/>
    <n v="130"/>
    <s v="Own cleaners"/>
    <s v="Yes"/>
  </r>
  <r>
    <x v="21"/>
    <x v="28"/>
    <x v="5"/>
    <x v="5"/>
    <s v="Tralee"/>
    <n v="103"/>
    <s v="Own cleaners"/>
    <s v="Yes"/>
  </r>
  <r>
    <x v="22"/>
    <x v="29"/>
    <x v="6"/>
    <x v="3"/>
    <s v="Killarney"/>
    <n v="183"/>
    <s v="Own cleaners"/>
    <s v="Yes"/>
  </r>
  <r>
    <x v="23"/>
    <x v="30"/>
    <x v="3"/>
    <x v="0"/>
    <s v="Dublin"/>
    <n v="497"/>
    <s v="Subcontractor"/>
    <s v="No"/>
  </r>
  <r>
    <x v="24"/>
    <x v="31"/>
    <x v="3"/>
    <x v="0"/>
    <s v="Dublin"/>
    <n v="491"/>
    <s v="Subcontractor"/>
    <s v="No"/>
  </r>
  <r>
    <x v="25"/>
    <x v="32"/>
    <x v="6"/>
    <x v="1"/>
    <s v="Killarney"/>
    <n v="223"/>
    <s v="Own cleaners"/>
    <s v="Yes"/>
  </r>
  <r>
    <x v="26"/>
    <x v="33"/>
    <x v="0"/>
    <x v="5"/>
    <s v="Tralee"/>
    <n v="112"/>
    <s v="Own cleaners"/>
    <s v="Yes"/>
  </r>
  <r>
    <x v="27"/>
    <x v="34"/>
    <x v="0"/>
    <x v="1"/>
    <s v="Tralee"/>
    <n v="401"/>
    <s v="Subcontractor"/>
    <s v="Yes"/>
  </r>
  <r>
    <x v="28"/>
    <x v="35"/>
    <x v="4"/>
    <x v="4"/>
    <s v="Limerick"/>
    <n v="334"/>
    <s v="Own cleaners"/>
    <s v="Yes"/>
  </r>
  <r>
    <x v="29"/>
    <x v="36"/>
    <x v="6"/>
    <x v="0"/>
    <s v="Killarney"/>
    <n v="301"/>
    <s v="Own cleaners"/>
    <s v="Yes"/>
  </r>
  <r>
    <x v="30"/>
    <x v="37"/>
    <x v="7"/>
    <x v="1"/>
    <s v="Killarney"/>
    <n v="440"/>
    <s v="Subcontractor"/>
    <s v="Yes"/>
  </r>
  <r>
    <x v="31"/>
    <x v="38"/>
    <x v="2"/>
    <x v="3"/>
    <s v="Cork"/>
    <n v="244"/>
    <s v="Subcontractor"/>
    <s v="Yes"/>
  </r>
  <r>
    <x v="32"/>
    <x v="39"/>
    <x v="4"/>
    <x v="4"/>
    <s v="Limerick"/>
    <n v="310"/>
    <s v="Own cleaners"/>
    <s v="Yes"/>
  </r>
  <r>
    <x v="33"/>
    <x v="40"/>
    <x v="3"/>
    <x v="2"/>
    <s v="Dublin"/>
    <n v="118"/>
    <s v="Subcontractor"/>
    <s v="Yes"/>
  </r>
  <r>
    <x v="33"/>
    <x v="41"/>
    <x v="3"/>
    <x v="2"/>
    <s v="Dublin"/>
    <n v="142"/>
    <s v="Subcontractor"/>
    <s v="Yes"/>
  </r>
  <r>
    <x v="34"/>
    <x v="42"/>
    <x v="4"/>
    <x v="3"/>
    <s v="Limerick"/>
    <n v="160"/>
    <s v="Subcontractor"/>
    <s v="Yes"/>
  </r>
  <r>
    <x v="35"/>
    <x v="43"/>
    <x v="2"/>
    <x v="5"/>
    <s v="Cork"/>
    <n v="83"/>
    <s v="Subcontractor"/>
    <s v="Yes"/>
  </r>
  <r>
    <x v="36"/>
    <x v="44"/>
    <x v="5"/>
    <x v="2"/>
    <s v="Tralee"/>
    <n v="124"/>
    <s v="Own cleaners"/>
    <s v="Yes"/>
  </r>
  <r>
    <x v="37"/>
    <x v="45"/>
    <x v="3"/>
    <x v="5"/>
    <s v="Dublin"/>
    <n v="90"/>
    <s v="Subcontractor"/>
    <s v="Yes"/>
  </r>
  <r>
    <x v="38"/>
    <x v="46"/>
    <x v="6"/>
    <x v="5"/>
    <s v="Killarney"/>
    <n v="128"/>
    <s v="Own cleaners"/>
    <s v="Yes"/>
  </r>
  <r>
    <x v="39"/>
    <x v="47"/>
    <x v="7"/>
    <x v="3"/>
    <s v="Killarney"/>
    <n v="197"/>
    <s v="Own cleaners"/>
    <s v="Yes"/>
  </r>
  <r>
    <x v="40"/>
    <x v="48"/>
    <x v="6"/>
    <x v="3"/>
    <s v="Killarney"/>
    <n v="243"/>
    <s v="Subcontractor"/>
    <s v="Yes"/>
  </r>
  <r>
    <x v="41"/>
    <x v="49"/>
    <x v="0"/>
    <x v="2"/>
    <s v="Tralee"/>
    <n v="116"/>
    <s v="Own cleaners"/>
    <s v="No"/>
  </r>
  <r>
    <x v="42"/>
    <x v="50"/>
    <x v="4"/>
    <x v="1"/>
    <s v="Limerick"/>
    <n v="305"/>
    <s v="Own cleaners"/>
    <s v="No"/>
  </r>
  <r>
    <x v="43"/>
    <x v="51"/>
    <x v="0"/>
    <x v="0"/>
    <s v="Tralee"/>
    <n v="296"/>
    <s v="Own cleaners"/>
    <s v="No"/>
  </r>
  <r>
    <x v="44"/>
    <x v="52"/>
    <x v="2"/>
    <x v="3"/>
    <s v="Cork"/>
    <n v="259"/>
    <s v="Subcontractor"/>
    <s v="Yes"/>
  </r>
  <r>
    <x v="45"/>
    <x v="53"/>
    <x v="0"/>
    <x v="5"/>
    <s v="Tralee"/>
    <n v="110"/>
    <s v="Own cleaners"/>
    <s v="Yes"/>
  </r>
  <r>
    <x v="46"/>
    <x v="54"/>
    <x v="4"/>
    <x v="2"/>
    <s v="Limerick"/>
    <n v="155"/>
    <s v="Own cleaners"/>
    <s v="Yes"/>
  </r>
  <r>
    <x v="46"/>
    <x v="55"/>
    <x v="6"/>
    <x v="5"/>
    <s v="Killarney"/>
    <n v="137"/>
    <s v="Subcontractor"/>
    <s v="Yes"/>
  </r>
  <r>
    <x v="47"/>
    <x v="56"/>
    <x v="5"/>
    <x v="1"/>
    <s v="Tralee"/>
    <n v="206"/>
    <s v="Subcontractor"/>
    <s v="Yes"/>
  </r>
  <r>
    <x v="48"/>
    <x v="57"/>
    <x v="6"/>
    <x v="2"/>
    <s v="Killarney"/>
    <n v="159"/>
    <s v="Own cleaners"/>
    <s v="Yes"/>
  </r>
  <r>
    <x v="48"/>
    <x v="58"/>
    <x v="3"/>
    <x v="1"/>
    <s v="Dublin"/>
    <n v="232"/>
    <s v="Subcontractor"/>
    <s v="Yes"/>
  </r>
  <r>
    <x v="49"/>
    <x v="59"/>
    <x v="5"/>
    <x v="4"/>
    <s v="Tralee"/>
    <n v="305"/>
    <s v="Subcontractor"/>
    <s v="Yes"/>
  </r>
  <r>
    <x v="50"/>
    <x v="60"/>
    <x v="0"/>
    <x v="3"/>
    <s v="Tralee"/>
    <n v="212"/>
    <s v="Own cleaners"/>
    <s v="No"/>
  </r>
  <r>
    <x v="51"/>
    <x v="61"/>
    <x v="1"/>
    <x v="5"/>
    <s v="Tralee"/>
    <n v="127"/>
    <s v="Own cleaners"/>
    <s v="Yes"/>
  </r>
  <r>
    <x v="52"/>
    <x v="62"/>
    <x v="4"/>
    <x v="2"/>
    <s v="Limerick"/>
    <n v="131"/>
    <s v="Subcontractor"/>
    <s v="Yes"/>
  </r>
  <r>
    <x v="53"/>
    <x v="63"/>
    <x v="3"/>
    <x v="5"/>
    <s v="Dublin"/>
    <n v="75"/>
    <s v="Subcontractor"/>
    <s v="Yes"/>
  </r>
  <r>
    <x v="53"/>
    <x v="64"/>
    <x v="3"/>
    <x v="0"/>
    <s v="Dublin"/>
    <n v="590"/>
    <s v="Subcontractor"/>
    <s v="Yes"/>
  </r>
  <r>
    <x v="54"/>
    <x v="65"/>
    <x v="4"/>
    <x v="1"/>
    <s v="Limerick"/>
    <n v="288"/>
    <s v="Own cleaners"/>
    <s v="Yes"/>
  </r>
  <r>
    <x v="54"/>
    <x v="66"/>
    <x v="2"/>
    <x v="4"/>
    <s v="Cork"/>
    <n v="301"/>
    <s v="Subcontractor"/>
    <s v="Yes"/>
  </r>
  <r>
    <x v="55"/>
    <x v="67"/>
    <x v="6"/>
    <x v="4"/>
    <s v="Killarney"/>
    <n v="266"/>
    <s v="Own cleaners"/>
    <s v="Yes"/>
  </r>
  <r>
    <x v="55"/>
    <x v="68"/>
    <x v="1"/>
    <x v="2"/>
    <s v="Tralee"/>
    <n v="91"/>
    <s v="Own cleaners"/>
    <s v="Yes"/>
  </r>
  <r>
    <x v="56"/>
    <x v="69"/>
    <x v="1"/>
    <x v="1"/>
    <s v="Tralee"/>
    <n v="207"/>
    <s v="Own cleaners"/>
    <s v="Yes"/>
  </r>
  <r>
    <x v="57"/>
    <x v="70"/>
    <x v="2"/>
    <x v="4"/>
    <s v="Cork"/>
    <n v="230"/>
    <s v="Subcontractor"/>
    <s v="Yes"/>
  </r>
  <r>
    <x v="58"/>
    <x v="71"/>
    <x v="5"/>
    <x v="0"/>
    <s v="Tralee"/>
    <n v="577"/>
    <s v="Own cleaners"/>
    <s v="Yes"/>
  </r>
  <r>
    <x v="58"/>
    <x v="72"/>
    <x v="1"/>
    <x v="4"/>
    <s v="Tralee"/>
    <n v="371"/>
    <s v="Own cleaners"/>
    <s v="Yes"/>
  </r>
  <r>
    <x v="59"/>
    <x v="73"/>
    <x v="3"/>
    <x v="4"/>
    <s v="Dublin"/>
    <n v="248"/>
    <s v="Subcontractor"/>
    <s v="No"/>
  </r>
  <r>
    <x v="60"/>
    <x v="74"/>
    <x v="2"/>
    <x v="0"/>
    <s v="Cork"/>
    <n v="322"/>
    <s v="Subcontractor"/>
    <s v="Yes"/>
  </r>
  <r>
    <x v="61"/>
    <x v="75"/>
    <x v="6"/>
    <x v="0"/>
    <s v="Killarney"/>
    <n v="252"/>
    <s v="Own cleaners"/>
    <s v="Yes"/>
  </r>
  <r>
    <x v="62"/>
    <x v="76"/>
    <x v="0"/>
    <x v="3"/>
    <s v="Tralee"/>
    <n v="154"/>
    <s v="Own cleaners"/>
    <s v="Yes"/>
  </r>
  <r>
    <x v="63"/>
    <x v="77"/>
    <x v="2"/>
    <x v="5"/>
    <s v="Cork"/>
    <n v="118"/>
    <s v="Subcontractor"/>
    <s v="Yes"/>
  </r>
  <r>
    <x v="64"/>
    <x v="78"/>
    <x v="6"/>
    <x v="4"/>
    <s v="Killarney"/>
    <n v="260"/>
    <s v="Subcontractor"/>
    <s v="Yes"/>
  </r>
  <r>
    <x v="65"/>
    <x v="79"/>
    <x v="0"/>
    <x v="0"/>
    <s v="Tralee"/>
    <n v="459"/>
    <s v="Own cleaners"/>
    <s v="No"/>
  </r>
  <r>
    <x v="66"/>
    <x v="80"/>
    <x v="4"/>
    <x v="4"/>
    <s v="Limerick"/>
    <n v="356"/>
    <s v="Own cleaners"/>
    <s v="Yes"/>
  </r>
  <r>
    <x v="67"/>
    <x v="81"/>
    <x v="4"/>
    <x v="5"/>
    <s v="Limerick"/>
    <n v="79"/>
    <s v="Own cleaners"/>
    <s v="Yes"/>
  </r>
  <r>
    <x v="68"/>
    <x v="82"/>
    <x v="0"/>
    <x v="2"/>
    <s v="Tralee"/>
    <n v="154"/>
    <s v="Subcontractor"/>
    <s v="Yes"/>
  </r>
  <r>
    <x v="69"/>
    <x v="83"/>
    <x v="2"/>
    <x v="3"/>
    <s v="Cork"/>
    <n v="133"/>
    <s v="Subcontractor"/>
    <s v="Yes"/>
  </r>
  <r>
    <x v="70"/>
    <x v="84"/>
    <x v="6"/>
    <x v="5"/>
    <s v="Killarney"/>
    <n v="92"/>
    <s v="Own cleaners"/>
    <s v="Yes"/>
  </r>
  <r>
    <x v="71"/>
    <x v="85"/>
    <x v="6"/>
    <x v="2"/>
    <s v="Killarney"/>
    <n v="102"/>
    <s v="Own cleaners"/>
    <s v="Yes"/>
  </r>
  <r>
    <x v="72"/>
    <x v="86"/>
    <x v="7"/>
    <x v="2"/>
    <s v="Killarney"/>
    <n v="151"/>
    <s v="Subcontractor"/>
    <s v="Yes"/>
  </r>
  <r>
    <x v="73"/>
    <x v="87"/>
    <x v="5"/>
    <x v="5"/>
    <s v="Tralee"/>
    <n v="125"/>
    <s v="Subcontractor"/>
    <s v="Yes"/>
  </r>
  <r>
    <x v="73"/>
    <x v="88"/>
    <x v="0"/>
    <x v="0"/>
    <s v="Tralee"/>
    <n v="430"/>
    <s v="Own cleaners"/>
    <s v="Yes"/>
  </r>
  <r>
    <x v="74"/>
    <x v="89"/>
    <x v="5"/>
    <x v="1"/>
    <s v="Tralee"/>
    <n v="204"/>
    <s v="Own cleaners"/>
    <s v="Ye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d v="2026-01-02T00:00:00"/>
    <s v="W-1052"/>
    <s v="Harbour Offices"/>
    <s v="After renovation"/>
    <s v="Tralee"/>
    <x v="0"/>
    <s v="Own cleaners"/>
    <s v="Yes"/>
    <x v="0"/>
  </r>
  <r>
    <d v="2026-01-08T00:00:00"/>
    <s v="W-1055"/>
    <s v="Meadow Court"/>
    <s v="After renovation"/>
    <s v="Tralee"/>
    <x v="1"/>
    <s v="Subcontractor"/>
    <s v="Yes"/>
    <x v="1"/>
  </r>
  <r>
    <d v="2026-01-11T00:00:00"/>
    <s v="W-1066"/>
    <s v="Fern House"/>
    <s v="Deep clean"/>
    <s v="Cork"/>
    <x v="2"/>
    <s v="Subcontractor"/>
    <s v="Yes"/>
    <x v="1"/>
  </r>
  <r>
    <d v="2026-01-11T00:00:00"/>
    <s v="W-1088"/>
    <s v="Castle View"/>
    <s v="After renovation"/>
    <s v="Dublin"/>
    <x v="3"/>
    <s v="Subcontractor"/>
    <s v="Yes"/>
    <x v="1"/>
  </r>
  <r>
    <d v="2026-01-15T00:00:00"/>
    <s v="W-1001"/>
    <s v="Riverside B&amp;B"/>
    <s v="After renovation"/>
    <s v="Limerick"/>
    <x v="4"/>
    <s v="Own cleaners"/>
    <s v="Yes"/>
    <x v="0"/>
  </r>
  <r>
    <d v="2026-01-15T00:00:00"/>
    <s v="W-1054"/>
    <s v="Oak Lodge"/>
    <s v="After renovation"/>
    <s v="Tralee"/>
    <x v="5"/>
    <s v="Own cleaners"/>
    <s v="Yes"/>
    <x v="0"/>
  </r>
  <r>
    <d v="2026-01-16T00:00:00"/>
    <s v="W-1007"/>
    <s v="Oak Lodge"/>
    <s v="After renovation"/>
    <s v="Tralee"/>
    <x v="6"/>
    <s v="Own cleaners"/>
    <s v="Yes"/>
    <x v="0"/>
  </r>
  <r>
    <d v="2026-01-16T00:00:00"/>
    <s v="W-1053"/>
    <s v="Oak Lodge"/>
    <s v="After renovation"/>
    <s v="Tralee"/>
    <x v="7"/>
    <s v="Own cleaners"/>
    <s v="Yes"/>
    <x v="0"/>
  </r>
  <r>
    <d v="2026-01-19T00:00:00"/>
    <s v="W-1059"/>
    <s v="Lakeside Cottage"/>
    <s v="Office clean"/>
    <s v="Killarney"/>
    <x v="8"/>
    <s v="Own cleaners"/>
    <s v="Yes"/>
    <x v="1"/>
  </r>
  <r>
    <d v="2026-01-21T00:00:00"/>
    <s v="W-1039"/>
    <s v="Riverside B&amp;B"/>
    <s v="Deep clean"/>
    <s v="Limerick"/>
    <x v="9"/>
    <s v="Own cleaners"/>
    <s v="Yes"/>
    <x v="0"/>
  </r>
  <r>
    <d v="2026-01-22T00:00:00"/>
    <s v="W-1041"/>
    <s v="Riverside B&amp;B"/>
    <s v="Carpet clean"/>
    <s v="Limerick"/>
    <x v="10"/>
    <s v="Own cleaners"/>
    <s v="Yes"/>
    <x v="0"/>
  </r>
  <r>
    <d v="2026-02-02T00:00:00"/>
    <s v="W-1044"/>
    <s v="Harbour Offices"/>
    <s v="End of tenancy"/>
    <s v="Tralee"/>
    <x v="11"/>
    <s v="Own cleaners"/>
    <s v="Yes"/>
    <x v="0"/>
  </r>
  <r>
    <d v="2026-02-05T00:00:00"/>
    <s v="W-1058"/>
    <s v="Lakeside Cottage"/>
    <s v="Office clean"/>
    <s v="Killarney"/>
    <x v="12"/>
    <s v="Own cleaners"/>
    <s v="Yes"/>
    <x v="1"/>
  </r>
  <r>
    <d v="2026-02-06T00:00:00"/>
    <s v="W-1005"/>
    <s v="Fern House"/>
    <s v="Office clean"/>
    <s v="Cork"/>
    <x v="13"/>
    <s v="Subcontractor"/>
    <s v="Yes"/>
    <x v="1"/>
  </r>
  <r>
    <d v="2026-02-08T00:00:00"/>
    <s v="W-1021"/>
    <s v="Castle View"/>
    <s v="End of tenancy"/>
    <s v="Dublin"/>
    <x v="14"/>
    <s v="Subcontractor"/>
    <s v="Yes"/>
    <x v="1"/>
  </r>
  <r>
    <d v="2026-02-08T00:00:00"/>
    <s v="W-1051"/>
    <s v="Harbour Offices"/>
    <s v="After renovation"/>
    <s v="Tralee"/>
    <x v="15"/>
    <s v="Own cleaners"/>
    <s v="Yes"/>
    <x v="0"/>
  </r>
  <r>
    <d v="2026-02-11T00:00:00"/>
    <s v="W-1073"/>
    <s v="Lakeside Cottage"/>
    <s v="Airbnb turnover"/>
    <s v="Killarney"/>
    <x v="16"/>
    <s v="Own cleaners"/>
    <s v="No"/>
    <x v="1"/>
  </r>
  <r>
    <d v="2026-02-11T00:00:00"/>
    <s v="W-1081"/>
    <s v="Fern House"/>
    <s v="Office clean"/>
    <s v="Cork"/>
    <x v="17"/>
    <s v="Subcontractor"/>
    <s v="Yes"/>
    <x v="1"/>
  </r>
  <r>
    <d v="2026-02-12T00:00:00"/>
    <s v="W-1019"/>
    <s v="Meadow Court"/>
    <s v="Airbnb turnover"/>
    <s v="Tralee"/>
    <x v="18"/>
    <s v="Own cleaners"/>
    <s v="No"/>
    <x v="1"/>
  </r>
  <r>
    <d v="2026-02-13T00:00:00"/>
    <s v="W-1017"/>
    <s v="Meadow Court"/>
    <s v="Deep clean"/>
    <s v="Tralee"/>
    <x v="19"/>
    <s v="Own cleaners"/>
    <s v="Yes"/>
    <x v="1"/>
  </r>
  <r>
    <d v="2026-02-18T00:00:00"/>
    <s v="W-1026"/>
    <s v="Castle View"/>
    <s v="Airbnb turnover"/>
    <s v="Dublin"/>
    <x v="20"/>
    <s v="Subcontractor"/>
    <s v="Yes"/>
    <x v="1"/>
  </r>
  <r>
    <d v="2026-02-26T00:00:00"/>
    <s v="W-1004"/>
    <s v="Castle View"/>
    <s v="Airbnb turnover"/>
    <s v="Dublin"/>
    <x v="21"/>
    <s v="Subcontractor"/>
    <s v="Yes"/>
    <x v="1"/>
  </r>
  <r>
    <d v="2026-02-27T00:00:00"/>
    <s v="W-1035"/>
    <s v="Riverside B&amp;B"/>
    <s v="Carpet clean"/>
    <s v="Limerick"/>
    <x v="22"/>
    <s v="Own cleaners"/>
    <s v="Yes"/>
    <x v="0"/>
  </r>
  <r>
    <d v="2026-03-03T00:00:00"/>
    <s v="W-1002"/>
    <s v="Castle View"/>
    <s v="Airbnb turnover"/>
    <s v="Dublin"/>
    <x v="23"/>
    <s v="Subcontractor"/>
    <s v="Yes"/>
    <x v="1"/>
  </r>
  <r>
    <d v="2026-03-06T00:00:00"/>
    <s v="W-1029"/>
    <s v="Harbour Offices"/>
    <s v="Carpet clean"/>
    <s v="Tralee"/>
    <x v="24"/>
    <s v="Own cleaners"/>
    <s v="Yes"/>
    <x v="0"/>
  </r>
  <r>
    <d v="2026-03-06T00:00:00"/>
    <s v="W-1048"/>
    <s v="Lakeside Cottage"/>
    <s v="Airbnb turnover"/>
    <s v="Killarney"/>
    <x v="25"/>
    <s v="Own cleaners"/>
    <s v="Yes"/>
    <x v="1"/>
  </r>
  <r>
    <d v="2026-03-09T00:00:00"/>
    <s v="W-1031"/>
    <s v="Riverside B&amp;B"/>
    <s v="Carpet clean"/>
    <s v="Limerick"/>
    <x v="26"/>
    <s v="Own cleaners"/>
    <s v="Yes"/>
    <x v="0"/>
  </r>
  <r>
    <d v="2026-03-09T00:00:00"/>
    <s v="W-1071"/>
    <s v="Lakeside Cottage"/>
    <s v="Airbnb turnover"/>
    <s v="Killarney"/>
    <x v="27"/>
    <s v="Own cleaners"/>
    <s v="Yes"/>
    <x v="1"/>
  </r>
  <r>
    <d v="2026-03-11T00:00:00"/>
    <s v="W-1014"/>
    <s v="Oak Lodge"/>
    <s v="Airbnb turnover"/>
    <s v="Tralee"/>
    <x v="28"/>
    <s v="Own cleaners"/>
    <s v="Yes"/>
    <x v="0"/>
  </r>
  <r>
    <d v="2026-03-12T00:00:00"/>
    <s v="W-1056"/>
    <s v="Lakeside Cottage"/>
    <s v="Carpet clean"/>
    <s v="Killarney"/>
    <x v="29"/>
    <s v="Own cleaners"/>
    <s v="Yes"/>
    <x v="1"/>
  </r>
  <r>
    <d v="2026-03-13T00:00:00"/>
    <s v="W-1020"/>
    <s v="Castle View"/>
    <s v="After renovation"/>
    <s v="Dublin"/>
    <x v="30"/>
    <s v="Subcontractor"/>
    <s v="No"/>
    <x v="1"/>
  </r>
  <r>
    <d v="2026-03-20T00:00:00"/>
    <s v="W-1078"/>
    <s v="Castle View"/>
    <s v="After renovation"/>
    <s v="Dublin"/>
    <x v="31"/>
    <s v="Subcontractor"/>
    <s v="No"/>
    <x v="1"/>
  </r>
  <r>
    <d v="2026-03-23T00:00:00"/>
    <s v="W-1063"/>
    <s v="Lakeside Cottage"/>
    <s v="Deep clean"/>
    <s v="Killarney"/>
    <x v="32"/>
    <s v="Own cleaners"/>
    <s v="Yes"/>
    <x v="1"/>
  </r>
  <r>
    <d v="2026-03-29T00:00:00"/>
    <s v="W-1027"/>
    <s v="Harbour Offices"/>
    <s v="Airbnb turnover"/>
    <s v="Tralee"/>
    <x v="33"/>
    <s v="Own cleaners"/>
    <s v="Yes"/>
    <x v="0"/>
  </r>
  <r>
    <d v="2026-03-30T00:00:00"/>
    <s v="W-1075"/>
    <s v="Harbour Offices"/>
    <s v="Deep clean"/>
    <s v="Tralee"/>
    <x v="34"/>
    <s v="Subcontractor"/>
    <s v="Yes"/>
    <x v="0"/>
  </r>
  <r>
    <d v="2026-04-02T00:00:00"/>
    <s v="W-1034"/>
    <s v="Riverside B&amp;B"/>
    <s v="End of tenancy"/>
    <s v="Limerick"/>
    <x v="35"/>
    <s v="Own cleaners"/>
    <s v="Yes"/>
    <x v="0"/>
  </r>
  <r>
    <d v="2026-04-03T00:00:00"/>
    <s v="W-1032"/>
    <s v="Lakeside Cottage"/>
    <s v="After renovation"/>
    <s v="Killarney"/>
    <x v="36"/>
    <s v="Own cleaners"/>
    <s v="Yes"/>
    <x v="1"/>
  </r>
  <r>
    <d v="2026-04-04T00:00:00"/>
    <s v="W-1084"/>
    <s v="Seaview Apartments"/>
    <s v="Deep clean"/>
    <s v="Killarney"/>
    <x v="37"/>
    <s v="Subcontractor"/>
    <s v="Yes"/>
    <x v="0"/>
  </r>
  <r>
    <d v="2026-04-09T00:00:00"/>
    <s v="W-1016"/>
    <s v="Fern House"/>
    <s v="Carpet clean"/>
    <s v="Cork"/>
    <x v="38"/>
    <s v="Subcontractor"/>
    <s v="Yes"/>
    <x v="1"/>
  </r>
  <r>
    <d v="2026-04-12T00:00:00"/>
    <s v="W-1000"/>
    <s v="Riverside B&amp;B"/>
    <s v="End of tenancy"/>
    <s v="Limerick"/>
    <x v="39"/>
    <s v="Own cleaners"/>
    <s v="Yes"/>
    <x v="0"/>
  </r>
  <r>
    <d v="2026-04-13T00:00:00"/>
    <s v="W-1025"/>
    <s v="Castle View"/>
    <s v="Office clean"/>
    <s v="Dublin"/>
    <x v="40"/>
    <s v="Subcontractor"/>
    <s v="Yes"/>
    <x v="1"/>
  </r>
  <r>
    <d v="2026-04-13T00:00:00"/>
    <s v="W-1043"/>
    <s v="Castle View"/>
    <s v="Office clean"/>
    <s v="Dublin"/>
    <x v="41"/>
    <s v="Subcontractor"/>
    <s v="Yes"/>
    <x v="1"/>
  </r>
  <r>
    <d v="2026-04-25T00:00:00"/>
    <s v="W-1010"/>
    <s v="Riverside B&amp;B"/>
    <s v="Carpet clean"/>
    <s v="Limerick"/>
    <x v="42"/>
    <s v="Subcontractor"/>
    <s v="Yes"/>
    <x v="0"/>
  </r>
  <r>
    <d v="2026-04-28T00:00:00"/>
    <s v="W-1083"/>
    <s v="Fern House"/>
    <s v="Airbnb turnover"/>
    <s v="Cork"/>
    <x v="43"/>
    <s v="Subcontractor"/>
    <s v="Yes"/>
    <x v="1"/>
  </r>
  <r>
    <d v="2026-04-30T00:00:00"/>
    <s v="W-1030"/>
    <s v="Oak Lodge"/>
    <s v="Office clean"/>
    <s v="Tralee"/>
    <x v="44"/>
    <s v="Own cleaners"/>
    <s v="Yes"/>
    <x v="0"/>
  </r>
  <r>
    <d v="2026-05-02T00:00:00"/>
    <s v="W-1086"/>
    <s v="Castle View"/>
    <s v="Airbnb turnover"/>
    <s v="Dublin"/>
    <x v="45"/>
    <s v="Subcontractor"/>
    <s v="Yes"/>
    <x v="1"/>
  </r>
  <r>
    <d v="2026-05-05T00:00:00"/>
    <s v="W-1022"/>
    <s v="Lakeside Cottage"/>
    <s v="Airbnb turnover"/>
    <s v="Killarney"/>
    <x v="13"/>
    <s v="Own cleaners"/>
    <s v="Yes"/>
    <x v="1"/>
  </r>
  <r>
    <d v="2026-05-10T00:00:00"/>
    <s v="W-1076"/>
    <s v="Seaview Apartments"/>
    <s v="Carpet clean"/>
    <s v="Killarney"/>
    <x v="14"/>
    <s v="Own cleaners"/>
    <s v="Yes"/>
    <x v="0"/>
  </r>
  <r>
    <d v="2026-05-14T00:00:00"/>
    <s v="W-1057"/>
    <s v="Lakeside Cottage"/>
    <s v="Carpet clean"/>
    <s v="Killarney"/>
    <x v="46"/>
    <s v="Subcontractor"/>
    <s v="Yes"/>
    <x v="1"/>
  </r>
  <r>
    <d v="2026-05-17T00:00:00"/>
    <s v="W-1023"/>
    <s v="Harbour Offices"/>
    <s v="Office clean"/>
    <s v="Tralee"/>
    <x v="47"/>
    <s v="Own cleaners"/>
    <s v="No"/>
    <x v="0"/>
  </r>
  <r>
    <d v="2026-05-20T00:00:00"/>
    <s v="W-1049"/>
    <s v="Riverside B&amp;B"/>
    <s v="Deep clean"/>
    <s v="Limerick"/>
    <x v="48"/>
    <s v="Own cleaners"/>
    <s v="No"/>
    <x v="0"/>
  </r>
  <r>
    <d v="2026-05-21T00:00:00"/>
    <s v="W-1046"/>
    <s v="Harbour Offices"/>
    <s v="After renovation"/>
    <s v="Tralee"/>
    <x v="49"/>
    <s v="Own cleaners"/>
    <s v="No"/>
    <x v="0"/>
  </r>
  <r>
    <d v="2026-05-28T00:00:00"/>
    <s v="W-1015"/>
    <s v="Fern House"/>
    <s v="Carpet clean"/>
    <s v="Cork"/>
    <x v="50"/>
    <s v="Subcontractor"/>
    <s v="Yes"/>
    <x v="1"/>
  </r>
  <r>
    <d v="2026-05-29T00:00:00"/>
    <s v="W-1006"/>
    <s v="Harbour Offices"/>
    <s v="Airbnb turnover"/>
    <s v="Tralee"/>
    <x v="51"/>
    <s v="Own cleaners"/>
    <s v="Yes"/>
    <x v="0"/>
  </r>
  <r>
    <d v="2026-05-30T00:00:00"/>
    <s v="W-1008"/>
    <s v="Riverside B&amp;B"/>
    <s v="Office clean"/>
    <s v="Limerick"/>
    <x v="52"/>
    <s v="Own cleaners"/>
    <s v="Yes"/>
    <x v="0"/>
  </r>
  <r>
    <d v="2026-05-30T00:00:00"/>
    <s v="W-1089"/>
    <s v="Lakeside Cottage"/>
    <s v="Airbnb turnover"/>
    <s v="Killarney"/>
    <x v="53"/>
    <s v="Subcontractor"/>
    <s v="Yes"/>
    <x v="1"/>
  </r>
  <r>
    <d v="2026-06-07T00:00:00"/>
    <s v="W-1028"/>
    <s v="Oak Lodge"/>
    <s v="Deep clean"/>
    <s v="Tralee"/>
    <x v="22"/>
    <s v="Subcontractor"/>
    <s v="Yes"/>
    <x v="0"/>
  </r>
  <r>
    <d v="2026-06-09T00:00:00"/>
    <s v="W-1040"/>
    <s v="Lakeside Cottage"/>
    <s v="Office clean"/>
    <s v="Killarney"/>
    <x v="54"/>
    <s v="Own cleaners"/>
    <s v="Yes"/>
    <x v="1"/>
  </r>
  <r>
    <d v="2026-06-09T00:00:00"/>
    <s v="W-1072"/>
    <s v="Castle View"/>
    <s v="Deep clean"/>
    <s v="Dublin"/>
    <x v="55"/>
    <s v="Subcontractor"/>
    <s v="Yes"/>
    <x v="1"/>
  </r>
  <r>
    <d v="2026-06-11T00:00:00"/>
    <s v="W-1003"/>
    <s v="Oak Lodge"/>
    <s v="End of tenancy"/>
    <s v="Tralee"/>
    <x v="48"/>
    <s v="Subcontractor"/>
    <s v="Yes"/>
    <x v="0"/>
  </r>
  <r>
    <d v="2026-06-14T00:00:00"/>
    <s v="W-1060"/>
    <s v="Harbour Offices"/>
    <s v="Carpet clean"/>
    <s v="Tralee"/>
    <x v="56"/>
    <s v="Own cleaners"/>
    <s v="No"/>
    <x v="0"/>
  </r>
  <r>
    <d v="2026-06-18T00:00:00"/>
    <s v="W-1077"/>
    <s v="Meadow Court"/>
    <s v="Airbnb turnover"/>
    <s v="Tralee"/>
    <x v="57"/>
    <s v="Own cleaners"/>
    <s v="Yes"/>
    <x v="1"/>
  </r>
  <r>
    <d v="2026-06-19T00:00:00"/>
    <s v="W-1050"/>
    <s v="Riverside B&amp;B"/>
    <s v="Office clean"/>
    <s v="Limerick"/>
    <x v="58"/>
    <s v="Subcontractor"/>
    <s v="Yes"/>
    <x v="0"/>
  </r>
  <r>
    <d v="2026-06-21T00:00:00"/>
    <s v="W-1012"/>
    <s v="Castle View"/>
    <s v="Airbnb turnover"/>
    <s v="Dublin"/>
    <x v="20"/>
    <s v="Subcontractor"/>
    <s v="Yes"/>
    <x v="1"/>
  </r>
  <r>
    <d v="2026-06-21T00:00:00"/>
    <s v="W-1082"/>
    <s v="Castle View"/>
    <s v="After renovation"/>
    <s v="Dublin"/>
    <x v="59"/>
    <s v="Subcontractor"/>
    <s v="Yes"/>
    <x v="1"/>
  </r>
  <r>
    <d v="2026-06-27T00:00:00"/>
    <s v="W-1013"/>
    <s v="Riverside B&amp;B"/>
    <s v="Deep clean"/>
    <s v="Limerick"/>
    <x v="60"/>
    <s v="Own cleaners"/>
    <s v="Yes"/>
    <x v="0"/>
  </r>
  <r>
    <d v="2026-06-27T00:00:00"/>
    <s v="W-1038"/>
    <s v="Fern House"/>
    <s v="End of tenancy"/>
    <s v="Cork"/>
    <x v="36"/>
    <s v="Subcontractor"/>
    <s v="Yes"/>
    <x v="1"/>
  </r>
  <r>
    <d v="2026-06-30T00:00:00"/>
    <s v="W-1062"/>
    <s v="Lakeside Cottage"/>
    <s v="End of tenancy"/>
    <s v="Killarney"/>
    <x v="61"/>
    <s v="Own cleaners"/>
    <s v="Yes"/>
    <x v="1"/>
  </r>
  <r>
    <d v="2026-06-30T00:00:00"/>
    <s v="W-1064"/>
    <s v="Meadow Court"/>
    <s v="Office clean"/>
    <s v="Tralee"/>
    <x v="62"/>
    <s v="Own cleaners"/>
    <s v="Yes"/>
    <x v="1"/>
  </r>
  <r>
    <d v="2026-07-07T00:00:00"/>
    <s v="W-1037"/>
    <s v="Meadow Court"/>
    <s v="Deep clean"/>
    <s v="Tralee"/>
    <x v="63"/>
    <s v="Own cleaners"/>
    <s v="Yes"/>
    <x v="1"/>
  </r>
  <r>
    <d v="2026-07-09T00:00:00"/>
    <s v="W-1018"/>
    <s v="Fern House"/>
    <s v="End of tenancy"/>
    <s v="Cork"/>
    <x v="64"/>
    <s v="Subcontractor"/>
    <s v="Yes"/>
    <x v="1"/>
  </r>
  <r>
    <d v="2026-07-11T00:00:00"/>
    <s v="W-1047"/>
    <s v="Oak Lodge"/>
    <s v="After renovation"/>
    <s v="Tralee"/>
    <x v="65"/>
    <s v="Own cleaners"/>
    <s v="Yes"/>
    <x v="0"/>
  </r>
  <r>
    <d v="2026-07-11T00:00:00"/>
    <s v="W-1061"/>
    <s v="Meadow Court"/>
    <s v="End of tenancy"/>
    <s v="Tralee"/>
    <x v="66"/>
    <s v="Own cleaners"/>
    <s v="Yes"/>
    <x v="1"/>
  </r>
  <r>
    <d v="2026-07-13T00:00:00"/>
    <s v="W-1011"/>
    <s v="Castle View"/>
    <s v="End of tenancy"/>
    <s v="Dublin"/>
    <x v="67"/>
    <s v="Subcontractor"/>
    <s v="No"/>
    <x v="1"/>
  </r>
  <r>
    <d v="2026-07-14T00:00:00"/>
    <s v="W-1074"/>
    <s v="Fern House"/>
    <s v="After renovation"/>
    <s v="Cork"/>
    <x v="68"/>
    <s v="Subcontractor"/>
    <s v="Yes"/>
    <x v="1"/>
  </r>
  <r>
    <d v="2026-07-18T00:00:00"/>
    <s v="W-1087"/>
    <s v="Lakeside Cottage"/>
    <s v="After renovation"/>
    <s v="Killarney"/>
    <x v="69"/>
    <s v="Own cleaners"/>
    <s v="Yes"/>
    <x v="1"/>
  </r>
  <r>
    <d v="2026-07-19T00:00:00"/>
    <s v="W-1009"/>
    <s v="Harbour Offices"/>
    <s v="Carpet clean"/>
    <s v="Tralee"/>
    <x v="70"/>
    <s v="Own cleaners"/>
    <s v="Yes"/>
    <x v="0"/>
  </r>
  <r>
    <d v="2026-07-24T00:00:00"/>
    <s v="W-1069"/>
    <s v="Fern House"/>
    <s v="Airbnb turnover"/>
    <s v="Cork"/>
    <x v="40"/>
    <s v="Subcontractor"/>
    <s v="Yes"/>
    <x v="1"/>
  </r>
  <r>
    <d v="2026-07-29T00:00:00"/>
    <s v="W-1036"/>
    <s v="Lakeside Cottage"/>
    <s v="End of tenancy"/>
    <s v="Killarney"/>
    <x v="71"/>
    <s v="Subcontractor"/>
    <s v="Yes"/>
    <x v="1"/>
  </r>
  <r>
    <d v="2026-07-31T00:00:00"/>
    <s v="W-1045"/>
    <s v="Harbour Offices"/>
    <s v="After renovation"/>
    <s v="Tralee"/>
    <x v="72"/>
    <s v="Own cleaners"/>
    <s v="No"/>
    <x v="0"/>
  </r>
  <r>
    <d v="2026-08-02T00:00:00"/>
    <s v="W-1079"/>
    <s v="Riverside B&amp;B"/>
    <s v="End of tenancy"/>
    <s v="Limerick"/>
    <x v="73"/>
    <s v="Own cleaners"/>
    <s v="Yes"/>
    <x v="0"/>
  </r>
  <r>
    <d v="2026-08-03T00:00:00"/>
    <s v="W-1080"/>
    <s v="Riverside B&amp;B"/>
    <s v="Airbnb turnover"/>
    <s v="Limerick"/>
    <x v="74"/>
    <s v="Own cleaners"/>
    <s v="Yes"/>
    <x v="0"/>
  </r>
  <r>
    <d v="2026-08-06T00:00:00"/>
    <s v="W-1067"/>
    <s v="Harbour Offices"/>
    <s v="Office clean"/>
    <s v="Tralee"/>
    <x v="70"/>
    <s v="Subcontractor"/>
    <s v="Yes"/>
    <x v="0"/>
  </r>
  <r>
    <d v="2026-08-10T00:00:00"/>
    <s v="W-1033"/>
    <s v="Fern House"/>
    <s v="Carpet clean"/>
    <s v="Cork"/>
    <x v="75"/>
    <s v="Subcontractor"/>
    <s v="Yes"/>
    <x v="1"/>
  </r>
  <r>
    <d v="2026-08-14T00:00:00"/>
    <s v="W-1085"/>
    <s v="Lakeside Cottage"/>
    <s v="Airbnb turnover"/>
    <s v="Killarney"/>
    <x v="76"/>
    <s v="Own cleaners"/>
    <s v="Yes"/>
    <x v="1"/>
  </r>
  <r>
    <d v="2026-08-16T00:00:00"/>
    <s v="W-1042"/>
    <s v="Lakeside Cottage"/>
    <s v="Office clean"/>
    <s v="Killarney"/>
    <x v="77"/>
    <s v="Own cleaners"/>
    <s v="Yes"/>
    <x v="1"/>
  </r>
  <r>
    <d v="2026-08-19T00:00:00"/>
    <s v="W-1024"/>
    <s v="Seaview Apartments"/>
    <s v="Office clean"/>
    <s v="Killarney"/>
    <x v="78"/>
    <s v="Subcontractor"/>
    <s v="Yes"/>
    <x v="0"/>
  </r>
  <r>
    <d v="2026-08-24T00:00:00"/>
    <s v="W-1065"/>
    <s v="Oak Lodge"/>
    <s v="Airbnb turnover"/>
    <s v="Tralee"/>
    <x v="79"/>
    <s v="Subcontractor"/>
    <s v="Yes"/>
    <x v="0"/>
  </r>
  <r>
    <d v="2026-08-24T00:00:00"/>
    <s v="W-1068"/>
    <s v="Harbour Offices"/>
    <s v="After renovation"/>
    <s v="Tralee"/>
    <x v="80"/>
    <s v="Own cleaners"/>
    <s v="Yes"/>
    <x v="0"/>
  </r>
  <r>
    <d v="2026-08-29T00:00:00"/>
    <s v="W-1070"/>
    <s v="Oak Lodge"/>
    <s v="Deep clean"/>
    <s v="Tralee"/>
    <x v="81"/>
    <s v="Own cleaners"/>
    <s v="Yes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7D92BD-CFA1-264F-8449-D5A892A0E2F2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9">
    <pivotField numFmtId="14" showAll="0">
      <items count="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showAll="0"/>
    <pivotField showAll="0">
      <items count="9">
        <item x="3"/>
        <item x="2"/>
        <item x="0"/>
        <item x="6"/>
        <item x="1"/>
        <item x="5"/>
        <item x="4"/>
        <item x="7"/>
        <item t="default"/>
      </items>
    </pivotField>
    <pivotField axis="axisRow" showAll="0">
      <items count="7">
        <item x="0"/>
        <item x="5"/>
        <item x="3"/>
        <item x="1"/>
        <item x="4"/>
        <item x="2"/>
        <item t="default"/>
      </items>
    </pivotField>
    <pivotField showAll="0"/>
    <pivotField dataField="1" numFmtId="165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Price" fld="5" subtotal="average" baseField="0" baseItem="0" numFmtId="165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887AB5-FC38-DC48-8E62-7CE08409AE66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6" firstHeaderRow="1" firstDataRow="1" firstDataCol="1"/>
  <pivotFields count="9">
    <pivotField numFmtId="14" showAll="0"/>
    <pivotField showAll="0"/>
    <pivotField showAll="0"/>
    <pivotField showAll="0"/>
    <pivotField showAll="0"/>
    <pivotField dataField="1" numFmtId="165"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Average of Price" fld="5" subtotal="average" baseField="0" baseItem="0" numFmtId="165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67A02-DB15-B948-92F5-F73CB680A7CD}">
  <dimension ref="A3:B10"/>
  <sheetViews>
    <sheetView zoomScale="107" workbookViewId="0">
      <selection activeCell="B3" sqref="B3"/>
    </sheetView>
  </sheetViews>
  <sheetFormatPr baseColWidth="10" defaultRowHeight="15"/>
  <cols>
    <col min="1" max="1" width="13.5" bestFit="1" customWidth="1"/>
    <col min="2" max="3" width="13.6640625" bestFit="1" customWidth="1"/>
  </cols>
  <sheetData>
    <row r="3" spans="1:2">
      <c r="A3" s="5" t="s">
        <v>125</v>
      </c>
      <c r="B3" t="s">
        <v>127</v>
      </c>
    </row>
    <row r="4" spans="1:2">
      <c r="A4" s="6" t="s">
        <v>10</v>
      </c>
      <c r="B4" s="7">
        <v>433.88888888888891</v>
      </c>
    </row>
    <row r="5" spans="1:2">
      <c r="A5" s="6" t="s">
        <v>45</v>
      </c>
      <c r="B5" s="7">
        <v>100.35</v>
      </c>
    </row>
    <row r="6" spans="1:2">
      <c r="A6" s="6" t="s">
        <v>37</v>
      </c>
      <c r="B6" s="7">
        <v>205.30769230769232</v>
      </c>
    </row>
    <row r="7" spans="1:2">
      <c r="A7" s="6" t="s">
        <v>19</v>
      </c>
      <c r="B7" s="7">
        <v>295</v>
      </c>
    </row>
    <row r="8" spans="1:2">
      <c r="A8" s="6" t="s">
        <v>39</v>
      </c>
      <c r="B8" s="7">
        <v>280.33333333333331</v>
      </c>
    </row>
    <row r="9" spans="1:2">
      <c r="A9" s="6" t="s">
        <v>33</v>
      </c>
      <c r="B9" s="7">
        <v>125.93333333333334</v>
      </c>
    </row>
    <row r="10" spans="1:2">
      <c r="A10" s="6" t="s">
        <v>126</v>
      </c>
      <c r="B10" s="7">
        <v>236.43333333333334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1474E-15DD-9540-9476-DA4B2BF05A60}">
  <dimension ref="A3:B6"/>
  <sheetViews>
    <sheetView topLeftCell="B2" workbookViewId="0">
      <selection activeCell="Q13" sqref="Q13"/>
    </sheetView>
  </sheetViews>
  <sheetFormatPr baseColWidth="10" defaultRowHeight="15"/>
  <cols>
    <col min="1" max="1" width="12.1640625" bestFit="1" customWidth="1"/>
    <col min="2" max="2" width="13.6640625" bestFit="1" customWidth="1"/>
    <col min="3" max="3" width="14.5" bestFit="1" customWidth="1"/>
    <col min="4" max="4" width="14.6640625" bestFit="1" customWidth="1"/>
  </cols>
  <sheetData>
    <row r="3" spans="1:2">
      <c r="A3" s="5" t="s">
        <v>125</v>
      </c>
      <c r="B3" t="s">
        <v>127</v>
      </c>
    </row>
    <row r="4" spans="1:2">
      <c r="A4" s="6" t="s">
        <v>123</v>
      </c>
      <c r="B4" s="7">
        <v>209.57142857142858</v>
      </c>
    </row>
    <row r="5" spans="1:2">
      <c r="A5" s="6" t="s">
        <v>122</v>
      </c>
      <c r="B5" s="7">
        <v>268.53658536585368</v>
      </c>
    </row>
    <row r="6" spans="1:2">
      <c r="A6" s="6" t="s">
        <v>126</v>
      </c>
      <c r="B6" s="7">
        <v>236.43333333333334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2A84-E3EA-FC48-BC47-D56E5AC07762}">
  <dimension ref="A1:D13"/>
  <sheetViews>
    <sheetView topLeftCell="B1" zoomScale="109" workbookViewId="0">
      <selection activeCell="C18" sqref="C18"/>
    </sheetView>
  </sheetViews>
  <sheetFormatPr baseColWidth="10" defaultRowHeight="15"/>
  <cols>
    <col min="2" max="2" width="65.83203125" customWidth="1"/>
    <col min="3" max="3" width="85.1640625" customWidth="1"/>
    <col min="4" max="4" width="118.6640625" bestFit="1" customWidth="1"/>
  </cols>
  <sheetData>
    <row r="1" spans="1:4" ht="38" customHeight="1">
      <c r="A1" s="9" t="s">
        <v>129</v>
      </c>
    </row>
    <row r="3" spans="1:4" ht="19">
      <c r="A3" s="10" t="s">
        <v>124</v>
      </c>
      <c r="B3" s="10" t="s">
        <v>130</v>
      </c>
      <c r="C3" s="10" t="s">
        <v>131</v>
      </c>
      <c r="D3" s="10" t="s">
        <v>132</v>
      </c>
    </row>
    <row r="4" spans="1:4" ht="19">
      <c r="A4">
        <v>1</v>
      </c>
      <c r="B4" s="11" t="s">
        <v>133</v>
      </c>
      <c r="C4" s="10" t="s">
        <v>134</v>
      </c>
      <c r="D4" s="10" t="s">
        <v>135</v>
      </c>
    </row>
    <row r="5" spans="1:4" ht="16" customHeight="1">
      <c r="A5">
        <v>2</v>
      </c>
      <c r="B5" s="11" t="s">
        <v>136</v>
      </c>
      <c r="C5" s="11" t="s">
        <v>137</v>
      </c>
      <c r="D5" s="11" t="s">
        <v>138</v>
      </c>
    </row>
    <row r="6" spans="1:4" ht="18">
      <c r="B6" s="11"/>
    </row>
    <row r="10" spans="1:4">
      <c r="B10" s="12"/>
    </row>
    <row r="12" spans="1:4" ht="20" customHeight="1">
      <c r="B12" s="11" t="s">
        <v>139</v>
      </c>
    </row>
    <row r="13" spans="1:4">
      <c r="B13" s="13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"/>
  <sheetViews>
    <sheetView tabSelected="1" workbookViewId="0">
      <pane ySplit="1" topLeftCell="A44" activePane="bottomLeft" state="frozen"/>
      <selection pane="bottomLeft" activeCell="I45" sqref="I45"/>
    </sheetView>
  </sheetViews>
  <sheetFormatPr baseColWidth="10" defaultColWidth="8.83203125" defaultRowHeight="15"/>
  <cols>
    <col min="1" max="2" width="12" customWidth="1"/>
    <col min="3" max="3" width="22" customWidth="1"/>
    <col min="4" max="4" width="18" customWidth="1"/>
    <col min="5" max="5" width="12" customWidth="1"/>
    <col min="6" max="6" width="10" customWidth="1"/>
    <col min="7" max="7" width="16" customWidth="1"/>
    <col min="8" max="8" width="8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8" t="s">
        <v>128</v>
      </c>
    </row>
    <row r="2" spans="1:9">
      <c r="A2" s="2">
        <v>46024</v>
      </c>
      <c r="B2" s="3" t="s">
        <v>8</v>
      </c>
      <c r="C2" s="3" t="s">
        <v>9</v>
      </c>
      <c r="D2" s="3" t="s">
        <v>10</v>
      </c>
      <c r="E2" s="3" t="s">
        <v>11</v>
      </c>
      <c r="F2" s="4">
        <v>522</v>
      </c>
      <c r="G2" s="3" t="s">
        <v>12</v>
      </c>
      <c r="H2" s="3" t="s">
        <v>13</v>
      </c>
      <c r="I2" t="str">
        <f>_xlfn.XLOOKUP(C2, clients!$A$2:$A$9, clients!$B$2:$B$9)</f>
        <v>Recurring</v>
      </c>
    </row>
    <row r="3" spans="1:9">
      <c r="A3" s="2">
        <v>46030</v>
      </c>
      <c r="B3" s="3" t="s">
        <v>14</v>
      </c>
      <c r="C3" s="3" t="s">
        <v>15</v>
      </c>
      <c r="D3" s="3" t="s">
        <v>10</v>
      </c>
      <c r="E3" s="3" t="s">
        <v>11</v>
      </c>
      <c r="F3" s="4">
        <v>516</v>
      </c>
      <c r="G3" s="3" t="s">
        <v>16</v>
      </c>
      <c r="H3" s="3" t="s">
        <v>13</v>
      </c>
      <c r="I3" t="str">
        <f>_xlfn.XLOOKUP(C3, clients!$A$2:$A$9, clients!$B$2:$B$9)</f>
        <v>New</v>
      </c>
    </row>
    <row r="4" spans="1:9">
      <c r="A4" s="2">
        <v>46033</v>
      </c>
      <c r="B4" s="3" t="s">
        <v>17</v>
      </c>
      <c r="C4" s="3" t="s">
        <v>18</v>
      </c>
      <c r="D4" s="3" t="s">
        <v>19</v>
      </c>
      <c r="E4" s="3" t="s">
        <v>20</v>
      </c>
      <c r="F4" s="4">
        <v>426</v>
      </c>
      <c r="G4" s="3" t="s">
        <v>16</v>
      </c>
      <c r="H4" s="3" t="s">
        <v>13</v>
      </c>
      <c r="I4" t="str">
        <f>_xlfn.XLOOKUP(C4, clients!$A$2:$A$9, clients!$B$2:$B$9)</f>
        <v>New</v>
      </c>
    </row>
    <row r="5" spans="1:9">
      <c r="A5" s="2">
        <v>46033</v>
      </c>
      <c r="B5" s="3" t="s">
        <v>21</v>
      </c>
      <c r="C5" s="3" t="s">
        <v>22</v>
      </c>
      <c r="D5" s="3" t="s">
        <v>10</v>
      </c>
      <c r="E5" s="3" t="s">
        <v>23</v>
      </c>
      <c r="F5" s="4">
        <v>388</v>
      </c>
      <c r="G5" s="3" t="s">
        <v>16</v>
      </c>
      <c r="H5" s="3" t="s">
        <v>13</v>
      </c>
      <c r="I5" t="str">
        <f>_xlfn.XLOOKUP(C5, clients!$A$2:$A$9, clients!$B$2:$B$9)</f>
        <v>New</v>
      </c>
    </row>
    <row r="6" spans="1:9">
      <c r="A6" s="2">
        <v>46037</v>
      </c>
      <c r="B6" s="3" t="s">
        <v>24</v>
      </c>
      <c r="C6" s="3" t="s">
        <v>25</v>
      </c>
      <c r="D6" s="3" t="s">
        <v>10</v>
      </c>
      <c r="E6" s="3" t="s">
        <v>26</v>
      </c>
      <c r="F6" s="4">
        <v>568</v>
      </c>
      <c r="G6" s="3" t="s">
        <v>12</v>
      </c>
      <c r="H6" s="3" t="s">
        <v>13</v>
      </c>
      <c r="I6" t="str">
        <f>_xlfn.XLOOKUP(C6, clients!$A$2:$A$9, clients!$B$2:$B$9)</f>
        <v>Recurring</v>
      </c>
    </row>
    <row r="7" spans="1:9">
      <c r="A7" s="2">
        <v>46037</v>
      </c>
      <c r="B7" s="3" t="s">
        <v>27</v>
      </c>
      <c r="C7" s="3" t="s">
        <v>28</v>
      </c>
      <c r="D7" s="3" t="s">
        <v>10</v>
      </c>
      <c r="E7" s="3" t="s">
        <v>11</v>
      </c>
      <c r="F7" s="4">
        <v>337</v>
      </c>
      <c r="G7" s="3" t="s">
        <v>12</v>
      </c>
      <c r="H7" s="3" t="s">
        <v>13</v>
      </c>
      <c r="I7" t="str">
        <f>_xlfn.XLOOKUP(C7, clients!$A$2:$A$9, clients!$B$2:$B$9)</f>
        <v>Recurring</v>
      </c>
    </row>
    <row r="8" spans="1:9">
      <c r="A8" s="2">
        <v>46038</v>
      </c>
      <c r="B8" s="3" t="s">
        <v>29</v>
      </c>
      <c r="C8" s="3" t="s">
        <v>28</v>
      </c>
      <c r="D8" s="3" t="s">
        <v>10</v>
      </c>
      <c r="E8" s="3" t="s">
        <v>11</v>
      </c>
      <c r="F8" s="4">
        <v>467</v>
      </c>
      <c r="G8" s="3" t="s">
        <v>12</v>
      </c>
      <c r="H8" s="3" t="s">
        <v>13</v>
      </c>
      <c r="I8" t="str">
        <f>_xlfn.XLOOKUP(C8, clients!$A$2:$A$9, clients!$B$2:$B$9)</f>
        <v>Recurring</v>
      </c>
    </row>
    <row r="9" spans="1:9">
      <c r="A9" s="2">
        <v>46038</v>
      </c>
      <c r="B9" s="3" t="s">
        <v>30</v>
      </c>
      <c r="C9" s="3" t="s">
        <v>28</v>
      </c>
      <c r="D9" s="3" t="s">
        <v>10</v>
      </c>
      <c r="E9" s="3" t="s">
        <v>11</v>
      </c>
      <c r="F9" s="4">
        <v>364</v>
      </c>
      <c r="G9" s="3" t="s">
        <v>12</v>
      </c>
      <c r="H9" s="3" t="s">
        <v>13</v>
      </c>
      <c r="I9" t="str">
        <f>_xlfn.XLOOKUP(C9, clients!$A$2:$A$9, clients!$B$2:$B$9)</f>
        <v>Recurring</v>
      </c>
    </row>
    <row r="10" spans="1:9">
      <c r="A10" s="2">
        <v>46041</v>
      </c>
      <c r="B10" s="3" t="s">
        <v>31</v>
      </c>
      <c r="C10" s="3" t="s">
        <v>32</v>
      </c>
      <c r="D10" s="3" t="s">
        <v>33</v>
      </c>
      <c r="E10" s="3" t="s">
        <v>34</v>
      </c>
      <c r="F10" s="4">
        <v>105</v>
      </c>
      <c r="G10" s="3" t="s">
        <v>12</v>
      </c>
      <c r="H10" s="3" t="s">
        <v>13</v>
      </c>
      <c r="I10" t="str">
        <f>_xlfn.XLOOKUP(C10, clients!$A$2:$A$9, clients!$B$2:$B$9)</f>
        <v>New</v>
      </c>
    </row>
    <row r="11" spans="1:9">
      <c r="A11" s="2">
        <v>46043</v>
      </c>
      <c r="B11" s="3" t="s">
        <v>35</v>
      </c>
      <c r="C11" s="3" t="s">
        <v>25</v>
      </c>
      <c r="D11" s="3" t="s">
        <v>19</v>
      </c>
      <c r="E11" s="3" t="s">
        <v>26</v>
      </c>
      <c r="F11" s="4">
        <v>255</v>
      </c>
      <c r="G11" s="3" t="s">
        <v>12</v>
      </c>
      <c r="H11" s="3" t="s">
        <v>13</v>
      </c>
      <c r="I11" t="str">
        <f>_xlfn.XLOOKUP(C11, clients!$A$2:$A$9, clients!$B$2:$B$9)</f>
        <v>Recurring</v>
      </c>
    </row>
    <row r="12" spans="1:9">
      <c r="A12" s="2">
        <v>46044</v>
      </c>
      <c r="B12" s="3" t="s">
        <v>36</v>
      </c>
      <c r="C12" s="3" t="s">
        <v>25</v>
      </c>
      <c r="D12" s="3" t="s">
        <v>37</v>
      </c>
      <c r="E12" s="3" t="s">
        <v>26</v>
      </c>
      <c r="F12" s="4">
        <v>237</v>
      </c>
      <c r="G12" s="3" t="s">
        <v>12</v>
      </c>
      <c r="H12" s="3" t="s">
        <v>13</v>
      </c>
      <c r="I12" t="str">
        <f>_xlfn.XLOOKUP(C12, clients!$A$2:$A$9, clients!$B$2:$B$9)</f>
        <v>Recurring</v>
      </c>
    </row>
    <row r="13" spans="1:9">
      <c r="A13" s="2">
        <v>46055</v>
      </c>
      <c r="B13" s="3" t="s">
        <v>38</v>
      </c>
      <c r="C13" s="3" t="s">
        <v>9</v>
      </c>
      <c r="D13" s="3" t="s">
        <v>39</v>
      </c>
      <c r="E13" s="3" t="s">
        <v>11</v>
      </c>
      <c r="F13" s="4">
        <v>186</v>
      </c>
      <c r="G13" s="3" t="s">
        <v>12</v>
      </c>
      <c r="H13" s="3" t="s">
        <v>13</v>
      </c>
      <c r="I13" t="str">
        <f>_xlfn.XLOOKUP(C13, clients!$A$2:$A$9, clients!$B$2:$B$9)</f>
        <v>Recurring</v>
      </c>
    </row>
    <row r="14" spans="1:9">
      <c r="A14" s="2">
        <v>46058</v>
      </c>
      <c r="B14" s="3" t="s">
        <v>40</v>
      </c>
      <c r="C14" s="3" t="s">
        <v>32</v>
      </c>
      <c r="D14" s="3" t="s">
        <v>33</v>
      </c>
      <c r="E14" s="3" t="s">
        <v>34</v>
      </c>
      <c r="F14" s="4">
        <v>119</v>
      </c>
      <c r="G14" s="3" t="s">
        <v>12</v>
      </c>
      <c r="H14" s="3" t="s">
        <v>13</v>
      </c>
      <c r="I14" t="str">
        <f>_xlfn.XLOOKUP(C14, clients!$A$2:$A$9, clients!$B$2:$B$9)</f>
        <v>New</v>
      </c>
    </row>
    <row r="15" spans="1:9">
      <c r="A15" s="2">
        <v>46059</v>
      </c>
      <c r="B15" s="3" t="s">
        <v>41</v>
      </c>
      <c r="C15" s="3" t="s">
        <v>18</v>
      </c>
      <c r="D15" s="3" t="s">
        <v>33</v>
      </c>
      <c r="E15" s="3" t="s">
        <v>20</v>
      </c>
      <c r="F15" s="4">
        <v>128</v>
      </c>
      <c r="G15" s="3" t="s">
        <v>16</v>
      </c>
      <c r="H15" s="3" t="s">
        <v>13</v>
      </c>
      <c r="I15" t="str">
        <f>_xlfn.XLOOKUP(C15, clients!$A$2:$A$9, clients!$B$2:$B$9)</f>
        <v>New</v>
      </c>
    </row>
    <row r="16" spans="1:9">
      <c r="A16" s="2">
        <v>46061</v>
      </c>
      <c r="B16" s="3" t="s">
        <v>42</v>
      </c>
      <c r="C16" s="3" t="s">
        <v>22</v>
      </c>
      <c r="D16" s="3" t="s">
        <v>39</v>
      </c>
      <c r="E16" s="3" t="s">
        <v>23</v>
      </c>
      <c r="F16" s="4">
        <v>197</v>
      </c>
      <c r="G16" s="3" t="s">
        <v>16</v>
      </c>
      <c r="H16" s="3" t="s">
        <v>13</v>
      </c>
      <c r="I16" t="str">
        <f>_xlfn.XLOOKUP(C16, clients!$A$2:$A$9, clients!$B$2:$B$9)</f>
        <v>New</v>
      </c>
    </row>
    <row r="17" spans="1:9">
      <c r="A17" s="2">
        <v>46061</v>
      </c>
      <c r="B17" s="3" t="s">
        <v>43</v>
      </c>
      <c r="C17" s="3" t="s">
        <v>9</v>
      </c>
      <c r="D17" s="3" t="s">
        <v>10</v>
      </c>
      <c r="E17" s="3" t="s">
        <v>11</v>
      </c>
      <c r="F17" s="4">
        <v>433</v>
      </c>
      <c r="G17" s="3" t="s">
        <v>12</v>
      </c>
      <c r="H17" s="3" t="s">
        <v>13</v>
      </c>
      <c r="I17" t="str">
        <f>_xlfn.XLOOKUP(C17, clients!$A$2:$A$9, clients!$B$2:$B$9)</f>
        <v>Recurring</v>
      </c>
    </row>
    <row r="18" spans="1:9">
      <c r="A18" s="2">
        <v>46064</v>
      </c>
      <c r="B18" s="3" t="s">
        <v>44</v>
      </c>
      <c r="C18" s="3" t="s">
        <v>32</v>
      </c>
      <c r="D18" s="3" t="s">
        <v>45</v>
      </c>
      <c r="E18" s="3" t="s">
        <v>34</v>
      </c>
      <c r="F18" s="4">
        <v>88</v>
      </c>
      <c r="G18" s="3" t="s">
        <v>12</v>
      </c>
      <c r="H18" s="3" t="s">
        <v>46</v>
      </c>
      <c r="I18" t="str">
        <f>_xlfn.XLOOKUP(C18, clients!$A$2:$A$9, clients!$B$2:$B$9)</f>
        <v>New</v>
      </c>
    </row>
    <row r="19" spans="1:9">
      <c r="A19" s="2">
        <v>46064</v>
      </c>
      <c r="B19" s="3" t="s">
        <v>47</v>
      </c>
      <c r="C19" s="3" t="s">
        <v>18</v>
      </c>
      <c r="D19" s="3" t="s">
        <v>33</v>
      </c>
      <c r="E19" s="3" t="s">
        <v>20</v>
      </c>
      <c r="F19" s="4">
        <v>94</v>
      </c>
      <c r="G19" s="3" t="s">
        <v>16</v>
      </c>
      <c r="H19" s="3" t="s">
        <v>13</v>
      </c>
      <c r="I19" t="str">
        <f>_xlfn.XLOOKUP(C19, clients!$A$2:$A$9, clients!$B$2:$B$9)</f>
        <v>New</v>
      </c>
    </row>
    <row r="20" spans="1:9">
      <c r="A20" s="2">
        <v>46065</v>
      </c>
      <c r="B20" s="3" t="s">
        <v>48</v>
      </c>
      <c r="C20" s="3" t="s">
        <v>15</v>
      </c>
      <c r="D20" s="3" t="s">
        <v>45</v>
      </c>
      <c r="E20" s="3" t="s">
        <v>11</v>
      </c>
      <c r="F20" s="4">
        <v>101</v>
      </c>
      <c r="G20" s="3" t="s">
        <v>12</v>
      </c>
      <c r="H20" s="3" t="s">
        <v>46</v>
      </c>
      <c r="I20" t="str">
        <f>_xlfn.XLOOKUP(C20, clients!$A$2:$A$9, clients!$B$2:$B$9)</f>
        <v>New</v>
      </c>
    </row>
    <row r="21" spans="1:9">
      <c r="A21" s="2">
        <v>46066</v>
      </c>
      <c r="B21" s="3" t="s">
        <v>49</v>
      </c>
      <c r="C21" s="3" t="s">
        <v>15</v>
      </c>
      <c r="D21" s="3" t="s">
        <v>19</v>
      </c>
      <c r="E21" s="3" t="s">
        <v>11</v>
      </c>
      <c r="F21" s="4">
        <v>353</v>
      </c>
      <c r="G21" s="3" t="s">
        <v>12</v>
      </c>
      <c r="H21" s="3" t="s">
        <v>13</v>
      </c>
      <c r="I21" t="str">
        <f>_xlfn.XLOOKUP(C21, clients!$A$2:$A$9, clients!$B$2:$B$9)</f>
        <v>New</v>
      </c>
    </row>
    <row r="22" spans="1:9">
      <c r="A22" s="2">
        <v>46071</v>
      </c>
      <c r="B22" s="3" t="s">
        <v>50</v>
      </c>
      <c r="C22" s="3" t="s">
        <v>22</v>
      </c>
      <c r="D22" s="3" t="s">
        <v>45</v>
      </c>
      <c r="E22" s="3" t="s">
        <v>23</v>
      </c>
      <c r="F22" s="4">
        <v>75</v>
      </c>
      <c r="G22" s="3" t="s">
        <v>16</v>
      </c>
      <c r="H22" s="3" t="s">
        <v>13</v>
      </c>
      <c r="I22" t="str">
        <f>_xlfn.XLOOKUP(C22, clients!$A$2:$A$9, clients!$B$2:$B$9)</f>
        <v>New</v>
      </c>
    </row>
    <row r="23" spans="1:9">
      <c r="A23" s="2">
        <v>46079</v>
      </c>
      <c r="B23" s="3" t="s">
        <v>51</v>
      </c>
      <c r="C23" s="3" t="s">
        <v>22</v>
      </c>
      <c r="D23" s="3" t="s">
        <v>45</v>
      </c>
      <c r="E23" s="3" t="s">
        <v>23</v>
      </c>
      <c r="F23" s="4">
        <v>73</v>
      </c>
      <c r="G23" s="3" t="s">
        <v>16</v>
      </c>
      <c r="H23" s="3" t="s">
        <v>13</v>
      </c>
      <c r="I23" t="str">
        <f>_xlfn.XLOOKUP(C23, clients!$A$2:$A$9, clients!$B$2:$B$9)</f>
        <v>New</v>
      </c>
    </row>
    <row r="24" spans="1:9">
      <c r="A24" s="2">
        <v>46080</v>
      </c>
      <c r="B24" s="3" t="s">
        <v>52</v>
      </c>
      <c r="C24" s="3" t="s">
        <v>25</v>
      </c>
      <c r="D24" s="3" t="s">
        <v>37</v>
      </c>
      <c r="E24" s="3" t="s">
        <v>26</v>
      </c>
      <c r="F24" s="4">
        <v>206</v>
      </c>
      <c r="G24" s="3" t="s">
        <v>12</v>
      </c>
      <c r="H24" s="3" t="s">
        <v>13</v>
      </c>
      <c r="I24" t="str">
        <f>_xlfn.XLOOKUP(C24, clients!$A$2:$A$9, clients!$B$2:$B$9)</f>
        <v>Recurring</v>
      </c>
    </row>
    <row r="25" spans="1:9">
      <c r="A25" s="2">
        <v>46084</v>
      </c>
      <c r="B25" s="3" t="s">
        <v>53</v>
      </c>
      <c r="C25" s="3" t="s">
        <v>22</v>
      </c>
      <c r="D25" s="3" t="s">
        <v>45</v>
      </c>
      <c r="E25" s="3" t="s">
        <v>23</v>
      </c>
      <c r="F25" s="4">
        <v>76</v>
      </c>
      <c r="G25" s="3" t="s">
        <v>16</v>
      </c>
      <c r="H25" s="3" t="s">
        <v>13</v>
      </c>
      <c r="I25" t="str">
        <f>_xlfn.XLOOKUP(C25, clients!$A$2:$A$9, clients!$B$2:$B$9)</f>
        <v>New</v>
      </c>
    </row>
    <row r="26" spans="1:9">
      <c r="A26" s="2">
        <v>46087</v>
      </c>
      <c r="B26" s="3" t="s">
        <v>54</v>
      </c>
      <c r="C26" s="3" t="s">
        <v>9</v>
      </c>
      <c r="D26" s="3" t="s">
        <v>37</v>
      </c>
      <c r="E26" s="3" t="s">
        <v>11</v>
      </c>
      <c r="F26" s="4">
        <v>254</v>
      </c>
      <c r="G26" s="3" t="s">
        <v>12</v>
      </c>
      <c r="H26" s="3" t="s">
        <v>13</v>
      </c>
      <c r="I26" t="str">
        <f>_xlfn.XLOOKUP(C26, clients!$A$2:$A$9, clients!$B$2:$B$9)</f>
        <v>Recurring</v>
      </c>
    </row>
    <row r="27" spans="1:9">
      <c r="A27" s="2">
        <v>46087</v>
      </c>
      <c r="B27" s="3" t="s">
        <v>55</v>
      </c>
      <c r="C27" s="3" t="s">
        <v>32</v>
      </c>
      <c r="D27" s="3" t="s">
        <v>45</v>
      </c>
      <c r="E27" s="3" t="s">
        <v>34</v>
      </c>
      <c r="F27" s="4">
        <v>85</v>
      </c>
      <c r="G27" s="3" t="s">
        <v>12</v>
      </c>
      <c r="H27" s="3" t="s">
        <v>13</v>
      </c>
      <c r="I27" t="str">
        <f>_xlfn.XLOOKUP(C27, clients!$A$2:$A$9, clients!$B$2:$B$9)</f>
        <v>New</v>
      </c>
    </row>
    <row r="28" spans="1:9">
      <c r="A28" s="2">
        <v>46090</v>
      </c>
      <c r="B28" s="3" t="s">
        <v>56</v>
      </c>
      <c r="C28" s="3" t="s">
        <v>25</v>
      </c>
      <c r="D28" s="3" t="s">
        <v>37</v>
      </c>
      <c r="E28" s="3" t="s">
        <v>26</v>
      </c>
      <c r="F28" s="4">
        <v>187</v>
      </c>
      <c r="G28" s="3" t="s">
        <v>12</v>
      </c>
      <c r="H28" s="3" t="s">
        <v>13</v>
      </c>
      <c r="I28" t="str">
        <f>_xlfn.XLOOKUP(C28, clients!$A$2:$A$9, clients!$B$2:$B$9)</f>
        <v>Recurring</v>
      </c>
    </row>
    <row r="29" spans="1:9">
      <c r="A29" s="2">
        <v>46090</v>
      </c>
      <c r="B29" s="3" t="s">
        <v>57</v>
      </c>
      <c r="C29" s="3" t="s">
        <v>32</v>
      </c>
      <c r="D29" s="3" t="s">
        <v>45</v>
      </c>
      <c r="E29" s="3" t="s">
        <v>34</v>
      </c>
      <c r="F29" s="4">
        <v>130</v>
      </c>
      <c r="G29" s="3" t="s">
        <v>12</v>
      </c>
      <c r="H29" s="3" t="s">
        <v>13</v>
      </c>
      <c r="I29" t="str">
        <f>_xlfn.XLOOKUP(C29, clients!$A$2:$A$9, clients!$B$2:$B$9)</f>
        <v>New</v>
      </c>
    </row>
    <row r="30" spans="1:9">
      <c r="A30" s="2">
        <v>46092</v>
      </c>
      <c r="B30" s="3" t="s">
        <v>58</v>
      </c>
      <c r="C30" s="3" t="s">
        <v>28</v>
      </c>
      <c r="D30" s="3" t="s">
        <v>45</v>
      </c>
      <c r="E30" s="3" t="s">
        <v>11</v>
      </c>
      <c r="F30" s="4">
        <v>103</v>
      </c>
      <c r="G30" s="3" t="s">
        <v>12</v>
      </c>
      <c r="H30" s="3" t="s">
        <v>13</v>
      </c>
      <c r="I30" t="str">
        <f>_xlfn.XLOOKUP(C30, clients!$A$2:$A$9, clients!$B$2:$B$9)</f>
        <v>Recurring</v>
      </c>
    </row>
    <row r="31" spans="1:9">
      <c r="A31" s="2">
        <v>46093</v>
      </c>
      <c r="B31" s="3" t="s">
        <v>59</v>
      </c>
      <c r="C31" s="3" t="s">
        <v>32</v>
      </c>
      <c r="D31" s="3" t="s">
        <v>37</v>
      </c>
      <c r="E31" s="3" t="s">
        <v>34</v>
      </c>
      <c r="F31" s="4">
        <v>183</v>
      </c>
      <c r="G31" s="3" t="s">
        <v>12</v>
      </c>
      <c r="H31" s="3" t="s">
        <v>13</v>
      </c>
      <c r="I31" t="str">
        <f>_xlfn.XLOOKUP(C31, clients!$A$2:$A$9, clients!$B$2:$B$9)</f>
        <v>New</v>
      </c>
    </row>
    <row r="32" spans="1:9">
      <c r="A32" s="2">
        <v>46094</v>
      </c>
      <c r="B32" s="3" t="s">
        <v>60</v>
      </c>
      <c r="C32" s="3" t="s">
        <v>22</v>
      </c>
      <c r="D32" s="3" t="s">
        <v>10</v>
      </c>
      <c r="E32" s="3" t="s">
        <v>23</v>
      </c>
      <c r="F32" s="4">
        <v>497</v>
      </c>
      <c r="G32" s="3" t="s">
        <v>16</v>
      </c>
      <c r="H32" s="3" t="s">
        <v>46</v>
      </c>
      <c r="I32" t="str">
        <f>_xlfn.XLOOKUP(C32, clients!$A$2:$A$9, clients!$B$2:$B$9)</f>
        <v>New</v>
      </c>
    </row>
    <row r="33" spans="1:9">
      <c r="A33" s="2">
        <v>46101</v>
      </c>
      <c r="B33" s="3" t="s">
        <v>61</v>
      </c>
      <c r="C33" s="3" t="s">
        <v>22</v>
      </c>
      <c r="D33" s="3" t="s">
        <v>10</v>
      </c>
      <c r="E33" s="3" t="s">
        <v>23</v>
      </c>
      <c r="F33" s="4">
        <v>491</v>
      </c>
      <c r="G33" s="3" t="s">
        <v>16</v>
      </c>
      <c r="H33" s="3" t="s">
        <v>46</v>
      </c>
      <c r="I33" t="str">
        <f>_xlfn.XLOOKUP(C33, clients!$A$2:$A$9, clients!$B$2:$B$9)</f>
        <v>New</v>
      </c>
    </row>
    <row r="34" spans="1:9">
      <c r="A34" s="2">
        <v>46104</v>
      </c>
      <c r="B34" s="3" t="s">
        <v>62</v>
      </c>
      <c r="C34" s="3" t="s">
        <v>32</v>
      </c>
      <c r="D34" s="3" t="s">
        <v>19</v>
      </c>
      <c r="E34" s="3" t="s">
        <v>34</v>
      </c>
      <c r="F34" s="4">
        <v>223</v>
      </c>
      <c r="G34" s="3" t="s">
        <v>12</v>
      </c>
      <c r="H34" s="3" t="s">
        <v>13</v>
      </c>
      <c r="I34" t="str">
        <f>_xlfn.XLOOKUP(C34, clients!$A$2:$A$9, clients!$B$2:$B$9)</f>
        <v>New</v>
      </c>
    </row>
    <row r="35" spans="1:9">
      <c r="A35" s="2">
        <v>46110</v>
      </c>
      <c r="B35" s="3" t="s">
        <v>63</v>
      </c>
      <c r="C35" s="3" t="s">
        <v>9</v>
      </c>
      <c r="D35" s="3" t="s">
        <v>45</v>
      </c>
      <c r="E35" s="3" t="s">
        <v>11</v>
      </c>
      <c r="F35" s="4">
        <v>112</v>
      </c>
      <c r="G35" s="3" t="s">
        <v>12</v>
      </c>
      <c r="H35" s="3" t="s">
        <v>13</v>
      </c>
      <c r="I35" t="str">
        <f>_xlfn.XLOOKUP(C35, clients!$A$2:$A$9, clients!$B$2:$B$9)</f>
        <v>Recurring</v>
      </c>
    </row>
    <row r="36" spans="1:9">
      <c r="A36" s="2">
        <v>46111</v>
      </c>
      <c r="B36" s="3" t="s">
        <v>64</v>
      </c>
      <c r="C36" s="3" t="s">
        <v>9</v>
      </c>
      <c r="D36" s="3" t="s">
        <v>19</v>
      </c>
      <c r="E36" s="3" t="s">
        <v>11</v>
      </c>
      <c r="F36" s="4">
        <v>401</v>
      </c>
      <c r="G36" s="3" t="s">
        <v>16</v>
      </c>
      <c r="H36" s="3" t="s">
        <v>13</v>
      </c>
      <c r="I36" t="str">
        <f>_xlfn.XLOOKUP(C36, clients!$A$2:$A$9, clients!$B$2:$B$9)</f>
        <v>Recurring</v>
      </c>
    </row>
    <row r="37" spans="1:9">
      <c r="A37" s="2">
        <v>46114</v>
      </c>
      <c r="B37" s="3" t="s">
        <v>65</v>
      </c>
      <c r="C37" s="3" t="s">
        <v>25</v>
      </c>
      <c r="D37" s="3" t="s">
        <v>39</v>
      </c>
      <c r="E37" s="3" t="s">
        <v>26</v>
      </c>
      <c r="F37" s="4">
        <v>334</v>
      </c>
      <c r="G37" s="3" t="s">
        <v>12</v>
      </c>
      <c r="H37" s="3" t="s">
        <v>13</v>
      </c>
      <c r="I37" t="str">
        <f>_xlfn.XLOOKUP(C37, clients!$A$2:$A$9, clients!$B$2:$B$9)</f>
        <v>Recurring</v>
      </c>
    </row>
    <row r="38" spans="1:9">
      <c r="A38" s="2">
        <v>46115</v>
      </c>
      <c r="B38" s="3" t="s">
        <v>66</v>
      </c>
      <c r="C38" s="3" t="s">
        <v>32</v>
      </c>
      <c r="D38" s="3" t="s">
        <v>10</v>
      </c>
      <c r="E38" s="3" t="s">
        <v>34</v>
      </c>
      <c r="F38" s="4">
        <v>301</v>
      </c>
      <c r="G38" s="3" t="s">
        <v>12</v>
      </c>
      <c r="H38" s="3" t="s">
        <v>13</v>
      </c>
      <c r="I38" t="str">
        <f>_xlfn.XLOOKUP(C38, clients!$A$2:$A$9, clients!$B$2:$B$9)</f>
        <v>New</v>
      </c>
    </row>
    <row r="39" spans="1:9">
      <c r="A39" s="2">
        <v>46116</v>
      </c>
      <c r="B39" s="3" t="s">
        <v>67</v>
      </c>
      <c r="C39" s="3" t="s">
        <v>68</v>
      </c>
      <c r="D39" s="3" t="s">
        <v>19</v>
      </c>
      <c r="E39" s="3" t="s">
        <v>34</v>
      </c>
      <c r="F39" s="4">
        <v>440</v>
      </c>
      <c r="G39" s="3" t="s">
        <v>16</v>
      </c>
      <c r="H39" s="3" t="s">
        <v>13</v>
      </c>
      <c r="I39" t="str">
        <f>_xlfn.XLOOKUP(C39, clients!$A$2:$A$9, clients!$B$2:$B$9)</f>
        <v>Recurring</v>
      </c>
    </row>
    <row r="40" spans="1:9">
      <c r="A40" s="2">
        <v>46121</v>
      </c>
      <c r="B40" s="3" t="s">
        <v>69</v>
      </c>
      <c r="C40" s="3" t="s">
        <v>18</v>
      </c>
      <c r="D40" s="3" t="s">
        <v>37</v>
      </c>
      <c r="E40" s="3" t="s">
        <v>20</v>
      </c>
      <c r="F40" s="4">
        <v>244</v>
      </c>
      <c r="G40" s="3" t="s">
        <v>16</v>
      </c>
      <c r="H40" s="3" t="s">
        <v>13</v>
      </c>
      <c r="I40" t="str">
        <f>_xlfn.XLOOKUP(C40, clients!$A$2:$A$9, clients!$B$2:$B$9)</f>
        <v>New</v>
      </c>
    </row>
    <row r="41" spans="1:9">
      <c r="A41" s="2">
        <v>46124</v>
      </c>
      <c r="B41" s="3" t="s">
        <v>70</v>
      </c>
      <c r="C41" s="3" t="s">
        <v>25</v>
      </c>
      <c r="D41" s="3" t="s">
        <v>39</v>
      </c>
      <c r="E41" s="3" t="s">
        <v>26</v>
      </c>
      <c r="F41" s="4">
        <v>310</v>
      </c>
      <c r="G41" s="3" t="s">
        <v>12</v>
      </c>
      <c r="H41" s="3" t="s">
        <v>13</v>
      </c>
      <c r="I41" t="str">
        <f>_xlfn.XLOOKUP(C41, clients!$A$2:$A$9, clients!$B$2:$B$9)</f>
        <v>Recurring</v>
      </c>
    </row>
    <row r="42" spans="1:9">
      <c r="A42" s="2">
        <v>46125</v>
      </c>
      <c r="B42" s="3" t="s">
        <v>71</v>
      </c>
      <c r="C42" s="3" t="s">
        <v>22</v>
      </c>
      <c r="D42" s="3" t="s">
        <v>33</v>
      </c>
      <c r="E42" s="3" t="s">
        <v>23</v>
      </c>
      <c r="F42" s="4">
        <v>118</v>
      </c>
      <c r="G42" s="3" t="s">
        <v>16</v>
      </c>
      <c r="H42" s="3" t="s">
        <v>13</v>
      </c>
      <c r="I42" t="str">
        <f>_xlfn.XLOOKUP(C42, clients!$A$2:$A$9, clients!$B$2:$B$9)</f>
        <v>New</v>
      </c>
    </row>
    <row r="43" spans="1:9">
      <c r="A43" s="2">
        <v>46125</v>
      </c>
      <c r="B43" s="3" t="s">
        <v>72</v>
      </c>
      <c r="C43" s="3" t="s">
        <v>22</v>
      </c>
      <c r="D43" s="3" t="s">
        <v>33</v>
      </c>
      <c r="E43" s="3" t="s">
        <v>23</v>
      </c>
      <c r="F43" s="4">
        <v>142</v>
      </c>
      <c r="G43" s="3" t="s">
        <v>16</v>
      </c>
      <c r="H43" s="3" t="s">
        <v>13</v>
      </c>
      <c r="I43" t="str">
        <f>_xlfn.XLOOKUP(C43, clients!$A$2:$A$9, clients!$B$2:$B$9)</f>
        <v>New</v>
      </c>
    </row>
    <row r="44" spans="1:9">
      <c r="A44" s="2">
        <v>46137</v>
      </c>
      <c r="B44" s="3" t="s">
        <v>73</v>
      </c>
      <c r="C44" s="3" t="s">
        <v>25</v>
      </c>
      <c r="D44" s="3" t="s">
        <v>37</v>
      </c>
      <c r="E44" s="3" t="s">
        <v>26</v>
      </c>
      <c r="F44" s="4">
        <v>160</v>
      </c>
      <c r="G44" s="3" t="s">
        <v>16</v>
      </c>
      <c r="H44" s="3" t="s">
        <v>13</v>
      </c>
      <c r="I44" t="str">
        <f>_xlfn.XLOOKUP(C44, clients!$A$2:$A$9, clients!$B$2:$B$9)</f>
        <v>Recurring</v>
      </c>
    </row>
    <row r="45" spans="1:9">
      <c r="A45" s="2">
        <v>46140</v>
      </c>
      <c r="B45" s="3" t="s">
        <v>74</v>
      </c>
      <c r="C45" s="3" t="s">
        <v>18</v>
      </c>
      <c r="D45" s="3" t="s">
        <v>45</v>
      </c>
      <c r="E45" s="3" t="s">
        <v>20</v>
      </c>
      <c r="F45" s="4">
        <v>83</v>
      </c>
      <c r="G45" s="3" t="s">
        <v>16</v>
      </c>
      <c r="H45" s="3" t="s">
        <v>13</v>
      </c>
      <c r="I45" t="str">
        <f>_xlfn.XLOOKUP(C45, clients!$A$2:$A$9, clients!$B$2:$B$9)</f>
        <v>New</v>
      </c>
    </row>
    <row r="46" spans="1:9">
      <c r="A46" s="2">
        <v>46142</v>
      </c>
      <c r="B46" s="3" t="s">
        <v>75</v>
      </c>
      <c r="C46" s="3" t="s">
        <v>28</v>
      </c>
      <c r="D46" s="3" t="s">
        <v>33</v>
      </c>
      <c r="E46" s="3" t="s">
        <v>11</v>
      </c>
      <c r="F46" s="4">
        <v>124</v>
      </c>
      <c r="G46" s="3" t="s">
        <v>12</v>
      </c>
      <c r="H46" s="3" t="s">
        <v>13</v>
      </c>
      <c r="I46" t="str">
        <f>_xlfn.XLOOKUP(C46, clients!$A$2:$A$9, clients!$B$2:$B$9)</f>
        <v>Recurring</v>
      </c>
    </row>
    <row r="47" spans="1:9">
      <c r="A47" s="2">
        <v>46144</v>
      </c>
      <c r="B47" s="3" t="s">
        <v>76</v>
      </c>
      <c r="C47" s="3" t="s">
        <v>22</v>
      </c>
      <c r="D47" s="3" t="s">
        <v>45</v>
      </c>
      <c r="E47" s="3" t="s">
        <v>23</v>
      </c>
      <c r="F47" s="4">
        <v>90</v>
      </c>
      <c r="G47" s="3" t="s">
        <v>16</v>
      </c>
      <c r="H47" s="3" t="s">
        <v>13</v>
      </c>
      <c r="I47" t="str">
        <f>_xlfn.XLOOKUP(C47, clients!$A$2:$A$9, clients!$B$2:$B$9)</f>
        <v>New</v>
      </c>
    </row>
    <row r="48" spans="1:9">
      <c r="A48" s="2">
        <v>46147</v>
      </c>
      <c r="B48" s="3" t="s">
        <v>77</v>
      </c>
      <c r="C48" s="3" t="s">
        <v>32</v>
      </c>
      <c r="D48" s="3" t="s">
        <v>45</v>
      </c>
      <c r="E48" s="3" t="s">
        <v>34</v>
      </c>
      <c r="F48" s="4">
        <v>128</v>
      </c>
      <c r="G48" s="3" t="s">
        <v>12</v>
      </c>
      <c r="H48" s="3" t="s">
        <v>13</v>
      </c>
      <c r="I48" t="str">
        <f>_xlfn.XLOOKUP(C48, clients!$A$2:$A$9, clients!$B$2:$B$9)</f>
        <v>New</v>
      </c>
    </row>
    <row r="49" spans="1:9">
      <c r="A49" s="2">
        <v>46152</v>
      </c>
      <c r="B49" s="3" t="s">
        <v>78</v>
      </c>
      <c r="C49" s="3" t="s">
        <v>68</v>
      </c>
      <c r="D49" s="3" t="s">
        <v>37</v>
      </c>
      <c r="E49" s="3" t="s">
        <v>34</v>
      </c>
      <c r="F49" s="4">
        <v>197</v>
      </c>
      <c r="G49" s="3" t="s">
        <v>12</v>
      </c>
      <c r="H49" s="3" t="s">
        <v>13</v>
      </c>
      <c r="I49" t="str">
        <f>_xlfn.XLOOKUP(C49, clients!$A$2:$A$9, clients!$B$2:$B$9)</f>
        <v>Recurring</v>
      </c>
    </row>
    <row r="50" spans="1:9">
      <c r="A50" s="2">
        <v>46156</v>
      </c>
      <c r="B50" s="3" t="s">
        <v>79</v>
      </c>
      <c r="C50" s="3" t="s">
        <v>32</v>
      </c>
      <c r="D50" s="3" t="s">
        <v>37</v>
      </c>
      <c r="E50" s="3" t="s">
        <v>34</v>
      </c>
      <c r="F50" s="4">
        <v>243</v>
      </c>
      <c r="G50" s="3" t="s">
        <v>16</v>
      </c>
      <c r="H50" s="3" t="s">
        <v>13</v>
      </c>
      <c r="I50" t="str">
        <f>_xlfn.XLOOKUP(C50, clients!$A$2:$A$9, clients!$B$2:$B$9)</f>
        <v>New</v>
      </c>
    </row>
    <row r="51" spans="1:9">
      <c r="A51" s="2">
        <v>46159</v>
      </c>
      <c r="B51" s="3" t="s">
        <v>80</v>
      </c>
      <c r="C51" s="3" t="s">
        <v>9</v>
      </c>
      <c r="D51" s="3" t="s">
        <v>33</v>
      </c>
      <c r="E51" s="3" t="s">
        <v>11</v>
      </c>
      <c r="F51" s="4">
        <v>116</v>
      </c>
      <c r="G51" s="3" t="s">
        <v>12</v>
      </c>
      <c r="H51" s="3" t="s">
        <v>46</v>
      </c>
      <c r="I51" t="str">
        <f>_xlfn.XLOOKUP(C51, clients!$A$2:$A$9, clients!$B$2:$B$9)</f>
        <v>Recurring</v>
      </c>
    </row>
    <row r="52" spans="1:9">
      <c r="A52" s="2">
        <v>46162</v>
      </c>
      <c r="B52" s="3" t="s">
        <v>81</v>
      </c>
      <c r="C52" s="3" t="s">
        <v>25</v>
      </c>
      <c r="D52" s="3" t="s">
        <v>19</v>
      </c>
      <c r="E52" s="3" t="s">
        <v>26</v>
      </c>
      <c r="F52" s="4">
        <v>305</v>
      </c>
      <c r="G52" s="3" t="s">
        <v>12</v>
      </c>
      <c r="H52" s="3" t="s">
        <v>46</v>
      </c>
      <c r="I52" t="str">
        <f>_xlfn.XLOOKUP(C52, clients!$A$2:$A$9, clients!$B$2:$B$9)</f>
        <v>Recurring</v>
      </c>
    </row>
    <row r="53" spans="1:9">
      <c r="A53" s="2">
        <v>46163</v>
      </c>
      <c r="B53" s="3" t="s">
        <v>82</v>
      </c>
      <c r="C53" s="3" t="s">
        <v>9</v>
      </c>
      <c r="D53" s="3" t="s">
        <v>10</v>
      </c>
      <c r="E53" s="3" t="s">
        <v>11</v>
      </c>
      <c r="F53" s="4">
        <v>296</v>
      </c>
      <c r="G53" s="3" t="s">
        <v>12</v>
      </c>
      <c r="H53" s="3" t="s">
        <v>46</v>
      </c>
      <c r="I53" t="str">
        <f>_xlfn.XLOOKUP(C53, clients!$A$2:$A$9, clients!$B$2:$B$9)</f>
        <v>Recurring</v>
      </c>
    </row>
    <row r="54" spans="1:9">
      <c r="A54" s="2">
        <v>46170</v>
      </c>
      <c r="B54" s="3" t="s">
        <v>83</v>
      </c>
      <c r="C54" s="3" t="s">
        <v>18</v>
      </c>
      <c r="D54" s="3" t="s">
        <v>37</v>
      </c>
      <c r="E54" s="3" t="s">
        <v>20</v>
      </c>
      <c r="F54" s="4">
        <v>259</v>
      </c>
      <c r="G54" s="3" t="s">
        <v>16</v>
      </c>
      <c r="H54" s="3" t="s">
        <v>13</v>
      </c>
      <c r="I54" t="str">
        <f>_xlfn.XLOOKUP(C54, clients!$A$2:$A$9, clients!$B$2:$B$9)</f>
        <v>New</v>
      </c>
    </row>
    <row r="55" spans="1:9">
      <c r="A55" s="2">
        <v>46171</v>
      </c>
      <c r="B55" s="3" t="s">
        <v>84</v>
      </c>
      <c r="C55" s="3" t="s">
        <v>9</v>
      </c>
      <c r="D55" s="3" t="s">
        <v>45</v>
      </c>
      <c r="E55" s="3" t="s">
        <v>11</v>
      </c>
      <c r="F55" s="4">
        <v>110</v>
      </c>
      <c r="G55" s="3" t="s">
        <v>12</v>
      </c>
      <c r="H55" s="3" t="s">
        <v>13</v>
      </c>
      <c r="I55" t="str">
        <f>_xlfn.XLOOKUP(C55, clients!$A$2:$A$9, clients!$B$2:$B$9)</f>
        <v>Recurring</v>
      </c>
    </row>
    <row r="56" spans="1:9">
      <c r="A56" s="2">
        <v>46172</v>
      </c>
      <c r="B56" s="3" t="s">
        <v>85</v>
      </c>
      <c r="C56" s="3" t="s">
        <v>25</v>
      </c>
      <c r="D56" s="3" t="s">
        <v>33</v>
      </c>
      <c r="E56" s="3" t="s">
        <v>26</v>
      </c>
      <c r="F56" s="4">
        <v>155</v>
      </c>
      <c r="G56" s="3" t="s">
        <v>12</v>
      </c>
      <c r="H56" s="3" t="s">
        <v>13</v>
      </c>
      <c r="I56" t="str">
        <f>_xlfn.XLOOKUP(C56, clients!$A$2:$A$9, clients!$B$2:$B$9)</f>
        <v>Recurring</v>
      </c>
    </row>
    <row r="57" spans="1:9">
      <c r="A57" s="2">
        <v>46172</v>
      </c>
      <c r="B57" s="3" t="s">
        <v>86</v>
      </c>
      <c r="C57" s="3" t="s">
        <v>32</v>
      </c>
      <c r="D57" s="3" t="s">
        <v>45</v>
      </c>
      <c r="E57" s="3" t="s">
        <v>34</v>
      </c>
      <c r="F57" s="4">
        <v>137</v>
      </c>
      <c r="G57" s="3" t="s">
        <v>16</v>
      </c>
      <c r="H57" s="3" t="s">
        <v>13</v>
      </c>
      <c r="I57" t="str">
        <f>_xlfn.XLOOKUP(C57, clients!$A$2:$A$9, clients!$B$2:$B$9)</f>
        <v>New</v>
      </c>
    </row>
    <row r="58" spans="1:9">
      <c r="A58" s="2">
        <v>46180</v>
      </c>
      <c r="B58" s="3" t="s">
        <v>87</v>
      </c>
      <c r="C58" s="3" t="s">
        <v>28</v>
      </c>
      <c r="D58" s="3" t="s">
        <v>19</v>
      </c>
      <c r="E58" s="3" t="s">
        <v>11</v>
      </c>
      <c r="F58" s="4">
        <v>206</v>
      </c>
      <c r="G58" s="3" t="s">
        <v>16</v>
      </c>
      <c r="H58" s="3" t="s">
        <v>13</v>
      </c>
      <c r="I58" t="str">
        <f>_xlfn.XLOOKUP(C58, clients!$A$2:$A$9, clients!$B$2:$B$9)</f>
        <v>Recurring</v>
      </c>
    </row>
    <row r="59" spans="1:9">
      <c r="A59" s="2">
        <v>46182</v>
      </c>
      <c r="B59" s="3" t="s">
        <v>88</v>
      </c>
      <c r="C59" s="3" t="s">
        <v>32</v>
      </c>
      <c r="D59" s="3" t="s">
        <v>33</v>
      </c>
      <c r="E59" s="3" t="s">
        <v>34</v>
      </c>
      <c r="F59" s="4">
        <v>159</v>
      </c>
      <c r="G59" s="3" t="s">
        <v>12</v>
      </c>
      <c r="H59" s="3" t="s">
        <v>13</v>
      </c>
      <c r="I59" t="str">
        <f>_xlfn.XLOOKUP(C59, clients!$A$2:$A$9, clients!$B$2:$B$9)</f>
        <v>New</v>
      </c>
    </row>
    <row r="60" spans="1:9">
      <c r="A60" s="2">
        <v>46182</v>
      </c>
      <c r="B60" s="3" t="s">
        <v>89</v>
      </c>
      <c r="C60" s="3" t="s">
        <v>22</v>
      </c>
      <c r="D60" s="3" t="s">
        <v>19</v>
      </c>
      <c r="E60" s="3" t="s">
        <v>23</v>
      </c>
      <c r="F60" s="4">
        <v>232</v>
      </c>
      <c r="G60" s="3" t="s">
        <v>16</v>
      </c>
      <c r="H60" s="3" t="s">
        <v>13</v>
      </c>
      <c r="I60" t="str">
        <f>_xlfn.XLOOKUP(C60, clients!$A$2:$A$9, clients!$B$2:$B$9)</f>
        <v>New</v>
      </c>
    </row>
    <row r="61" spans="1:9">
      <c r="A61" s="2">
        <v>46184</v>
      </c>
      <c r="B61" s="3" t="s">
        <v>90</v>
      </c>
      <c r="C61" s="3" t="s">
        <v>28</v>
      </c>
      <c r="D61" s="3" t="s">
        <v>39</v>
      </c>
      <c r="E61" s="3" t="s">
        <v>11</v>
      </c>
      <c r="F61" s="4">
        <v>305</v>
      </c>
      <c r="G61" s="3" t="s">
        <v>16</v>
      </c>
      <c r="H61" s="3" t="s">
        <v>13</v>
      </c>
      <c r="I61" t="str">
        <f>_xlfn.XLOOKUP(C61, clients!$A$2:$A$9, clients!$B$2:$B$9)</f>
        <v>Recurring</v>
      </c>
    </row>
    <row r="62" spans="1:9">
      <c r="A62" s="2">
        <v>46187</v>
      </c>
      <c r="B62" s="3" t="s">
        <v>91</v>
      </c>
      <c r="C62" s="3" t="s">
        <v>9</v>
      </c>
      <c r="D62" s="3" t="s">
        <v>37</v>
      </c>
      <c r="E62" s="3" t="s">
        <v>11</v>
      </c>
      <c r="F62" s="4">
        <v>212</v>
      </c>
      <c r="G62" s="3" t="s">
        <v>12</v>
      </c>
      <c r="H62" s="3" t="s">
        <v>46</v>
      </c>
      <c r="I62" t="str">
        <f>_xlfn.XLOOKUP(C62, clients!$A$2:$A$9, clients!$B$2:$B$9)</f>
        <v>Recurring</v>
      </c>
    </row>
    <row r="63" spans="1:9">
      <c r="A63" s="2">
        <v>46191</v>
      </c>
      <c r="B63" s="3" t="s">
        <v>92</v>
      </c>
      <c r="C63" s="3" t="s">
        <v>15</v>
      </c>
      <c r="D63" s="3" t="s">
        <v>45</v>
      </c>
      <c r="E63" s="3" t="s">
        <v>11</v>
      </c>
      <c r="F63" s="4">
        <v>127</v>
      </c>
      <c r="G63" s="3" t="s">
        <v>12</v>
      </c>
      <c r="H63" s="3" t="s">
        <v>13</v>
      </c>
      <c r="I63" t="str">
        <f>_xlfn.XLOOKUP(C63, clients!$A$2:$A$9, clients!$B$2:$B$9)</f>
        <v>New</v>
      </c>
    </row>
    <row r="64" spans="1:9">
      <c r="A64" s="2">
        <v>46192</v>
      </c>
      <c r="B64" s="3" t="s">
        <v>93</v>
      </c>
      <c r="C64" s="3" t="s">
        <v>25</v>
      </c>
      <c r="D64" s="3" t="s">
        <v>33</v>
      </c>
      <c r="E64" s="3" t="s">
        <v>26</v>
      </c>
      <c r="F64" s="4">
        <v>131</v>
      </c>
      <c r="G64" s="3" t="s">
        <v>16</v>
      </c>
      <c r="H64" s="3" t="s">
        <v>13</v>
      </c>
      <c r="I64" t="str">
        <f>_xlfn.XLOOKUP(C64, clients!$A$2:$A$9, clients!$B$2:$B$9)</f>
        <v>Recurring</v>
      </c>
    </row>
    <row r="65" spans="1:9">
      <c r="A65" s="2">
        <v>46194</v>
      </c>
      <c r="B65" s="3" t="s">
        <v>94</v>
      </c>
      <c r="C65" s="3" t="s">
        <v>22</v>
      </c>
      <c r="D65" s="3" t="s">
        <v>45</v>
      </c>
      <c r="E65" s="3" t="s">
        <v>23</v>
      </c>
      <c r="F65" s="4">
        <v>75</v>
      </c>
      <c r="G65" s="3" t="s">
        <v>16</v>
      </c>
      <c r="H65" s="3" t="s">
        <v>13</v>
      </c>
      <c r="I65" t="str">
        <f>_xlfn.XLOOKUP(C65, clients!$A$2:$A$9, clients!$B$2:$B$9)</f>
        <v>New</v>
      </c>
    </row>
    <row r="66" spans="1:9">
      <c r="A66" s="2">
        <v>46194</v>
      </c>
      <c r="B66" s="3" t="s">
        <v>95</v>
      </c>
      <c r="C66" s="3" t="s">
        <v>22</v>
      </c>
      <c r="D66" s="3" t="s">
        <v>10</v>
      </c>
      <c r="E66" s="3" t="s">
        <v>23</v>
      </c>
      <c r="F66" s="4">
        <v>590</v>
      </c>
      <c r="G66" s="3" t="s">
        <v>16</v>
      </c>
      <c r="H66" s="3" t="s">
        <v>13</v>
      </c>
      <c r="I66" t="str">
        <f>_xlfn.XLOOKUP(C66, clients!$A$2:$A$9, clients!$B$2:$B$9)</f>
        <v>New</v>
      </c>
    </row>
    <row r="67" spans="1:9">
      <c r="A67" s="2">
        <v>46200</v>
      </c>
      <c r="B67" s="3" t="s">
        <v>96</v>
      </c>
      <c r="C67" s="3" t="s">
        <v>25</v>
      </c>
      <c r="D67" s="3" t="s">
        <v>19</v>
      </c>
      <c r="E67" s="3" t="s">
        <v>26</v>
      </c>
      <c r="F67" s="4">
        <v>288</v>
      </c>
      <c r="G67" s="3" t="s">
        <v>12</v>
      </c>
      <c r="H67" s="3" t="s">
        <v>13</v>
      </c>
      <c r="I67" t="str">
        <f>_xlfn.XLOOKUP(C67, clients!$A$2:$A$9, clients!$B$2:$B$9)</f>
        <v>Recurring</v>
      </c>
    </row>
    <row r="68" spans="1:9">
      <c r="A68" s="2">
        <v>46200</v>
      </c>
      <c r="B68" s="3" t="s">
        <v>97</v>
      </c>
      <c r="C68" s="3" t="s">
        <v>18</v>
      </c>
      <c r="D68" s="3" t="s">
        <v>39</v>
      </c>
      <c r="E68" s="3" t="s">
        <v>20</v>
      </c>
      <c r="F68" s="4">
        <v>301</v>
      </c>
      <c r="G68" s="3" t="s">
        <v>16</v>
      </c>
      <c r="H68" s="3" t="s">
        <v>13</v>
      </c>
      <c r="I68" t="str">
        <f>_xlfn.XLOOKUP(C68, clients!$A$2:$A$9, clients!$B$2:$B$9)</f>
        <v>New</v>
      </c>
    </row>
    <row r="69" spans="1:9">
      <c r="A69" s="2">
        <v>46203</v>
      </c>
      <c r="B69" s="3" t="s">
        <v>98</v>
      </c>
      <c r="C69" s="3" t="s">
        <v>32</v>
      </c>
      <c r="D69" s="3" t="s">
        <v>39</v>
      </c>
      <c r="E69" s="3" t="s">
        <v>34</v>
      </c>
      <c r="F69" s="4">
        <v>266</v>
      </c>
      <c r="G69" s="3" t="s">
        <v>12</v>
      </c>
      <c r="H69" s="3" t="s">
        <v>13</v>
      </c>
      <c r="I69" t="str">
        <f>_xlfn.XLOOKUP(C69, clients!$A$2:$A$9, clients!$B$2:$B$9)</f>
        <v>New</v>
      </c>
    </row>
    <row r="70" spans="1:9">
      <c r="A70" s="2">
        <v>46203</v>
      </c>
      <c r="B70" s="3" t="s">
        <v>99</v>
      </c>
      <c r="C70" s="3" t="s">
        <v>15</v>
      </c>
      <c r="D70" s="3" t="s">
        <v>33</v>
      </c>
      <c r="E70" s="3" t="s">
        <v>11</v>
      </c>
      <c r="F70" s="4">
        <v>91</v>
      </c>
      <c r="G70" s="3" t="s">
        <v>12</v>
      </c>
      <c r="H70" s="3" t="s">
        <v>13</v>
      </c>
      <c r="I70" t="str">
        <f>_xlfn.XLOOKUP(C70, clients!$A$2:$A$9, clients!$B$2:$B$9)</f>
        <v>New</v>
      </c>
    </row>
    <row r="71" spans="1:9">
      <c r="A71" s="2">
        <v>46210</v>
      </c>
      <c r="B71" s="3" t="s">
        <v>100</v>
      </c>
      <c r="C71" s="3" t="s">
        <v>15</v>
      </c>
      <c r="D71" s="3" t="s">
        <v>19</v>
      </c>
      <c r="E71" s="3" t="s">
        <v>11</v>
      </c>
      <c r="F71" s="4">
        <v>207</v>
      </c>
      <c r="G71" s="3" t="s">
        <v>12</v>
      </c>
      <c r="H71" s="3" t="s">
        <v>13</v>
      </c>
      <c r="I71" t="str">
        <f>_xlfn.XLOOKUP(C71, clients!$A$2:$A$9, clients!$B$2:$B$9)</f>
        <v>New</v>
      </c>
    </row>
    <row r="72" spans="1:9">
      <c r="A72" s="2">
        <v>46212</v>
      </c>
      <c r="B72" s="3" t="s">
        <v>101</v>
      </c>
      <c r="C72" s="3" t="s">
        <v>18</v>
      </c>
      <c r="D72" s="3" t="s">
        <v>39</v>
      </c>
      <c r="E72" s="3" t="s">
        <v>20</v>
      </c>
      <c r="F72" s="4">
        <v>230</v>
      </c>
      <c r="G72" s="3" t="s">
        <v>16</v>
      </c>
      <c r="H72" s="3" t="s">
        <v>13</v>
      </c>
      <c r="I72" t="str">
        <f>_xlfn.XLOOKUP(C72, clients!$A$2:$A$9, clients!$B$2:$B$9)</f>
        <v>New</v>
      </c>
    </row>
    <row r="73" spans="1:9">
      <c r="A73" s="2">
        <v>46214</v>
      </c>
      <c r="B73" s="3" t="s">
        <v>102</v>
      </c>
      <c r="C73" s="3" t="s">
        <v>28</v>
      </c>
      <c r="D73" s="3" t="s">
        <v>10</v>
      </c>
      <c r="E73" s="3" t="s">
        <v>11</v>
      </c>
      <c r="F73" s="4">
        <v>577</v>
      </c>
      <c r="G73" s="3" t="s">
        <v>12</v>
      </c>
      <c r="H73" s="3" t="s">
        <v>13</v>
      </c>
      <c r="I73" t="str">
        <f>_xlfn.XLOOKUP(C73, clients!$A$2:$A$9, clients!$B$2:$B$9)</f>
        <v>Recurring</v>
      </c>
    </row>
    <row r="74" spans="1:9">
      <c r="A74" s="2">
        <v>46214</v>
      </c>
      <c r="B74" s="3" t="s">
        <v>103</v>
      </c>
      <c r="C74" s="3" t="s">
        <v>15</v>
      </c>
      <c r="D74" s="3" t="s">
        <v>39</v>
      </c>
      <c r="E74" s="3" t="s">
        <v>11</v>
      </c>
      <c r="F74" s="4">
        <v>371</v>
      </c>
      <c r="G74" s="3" t="s">
        <v>12</v>
      </c>
      <c r="H74" s="3" t="s">
        <v>13</v>
      </c>
      <c r="I74" t="str">
        <f>_xlfn.XLOOKUP(C74, clients!$A$2:$A$9, clients!$B$2:$B$9)</f>
        <v>New</v>
      </c>
    </row>
    <row r="75" spans="1:9">
      <c r="A75" s="2">
        <v>46216</v>
      </c>
      <c r="B75" s="3" t="s">
        <v>104</v>
      </c>
      <c r="C75" s="3" t="s">
        <v>22</v>
      </c>
      <c r="D75" s="3" t="s">
        <v>39</v>
      </c>
      <c r="E75" s="3" t="s">
        <v>23</v>
      </c>
      <c r="F75" s="4">
        <v>248</v>
      </c>
      <c r="G75" s="3" t="s">
        <v>16</v>
      </c>
      <c r="H75" s="3" t="s">
        <v>46</v>
      </c>
      <c r="I75" t="str">
        <f>_xlfn.XLOOKUP(C75, clients!$A$2:$A$9, clients!$B$2:$B$9)</f>
        <v>New</v>
      </c>
    </row>
    <row r="76" spans="1:9">
      <c r="A76" s="2">
        <v>46217</v>
      </c>
      <c r="B76" s="3" t="s">
        <v>105</v>
      </c>
      <c r="C76" s="3" t="s">
        <v>18</v>
      </c>
      <c r="D76" s="3" t="s">
        <v>10</v>
      </c>
      <c r="E76" s="3" t="s">
        <v>20</v>
      </c>
      <c r="F76" s="4">
        <v>322</v>
      </c>
      <c r="G76" s="3" t="s">
        <v>16</v>
      </c>
      <c r="H76" s="3" t="s">
        <v>13</v>
      </c>
      <c r="I76" t="str">
        <f>_xlfn.XLOOKUP(C76, clients!$A$2:$A$9, clients!$B$2:$B$9)</f>
        <v>New</v>
      </c>
    </row>
    <row r="77" spans="1:9">
      <c r="A77" s="2">
        <v>46221</v>
      </c>
      <c r="B77" s="3" t="s">
        <v>106</v>
      </c>
      <c r="C77" s="3" t="s">
        <v>32</v>
      </c>
      <c r="D77" s="3" t="s">
        <v>10</v>
      </c>
      <c r="E77" s="3" t="s">
        <v>34</v>
      </c>
      <c r="F77" s="4">
        <v>252</v>
      </c>
      <c r="G77" s="3" t="s">
        <v>12</v>
      </c>
      <c r="H77" s="3" t="s">
        <v>13</v>
      </c>
      <c r="I77" t="str">
        <f>_xlfn.XLOOKUP(C77, clients!$A$2:$A$9, clients!$B$2:$B$9)</f>
        <v>New</v>
      </c>
    </row>
    <row r="78" spans="1:9">
      <c r="A78" s="2">
        <v>46222</v>
      </c>
      <c r="B78" s="3" t="s">
        <v>107</v>
      </c>
      <c r="C78" s="3" t="s">
        <v>9</v>
      </c>
      <c r="D78" s="3" t="s">
        <v>37</v>
      </c>
      <c r="E78" s="3" t="s">
        <v>11</v>
      </c>
      <c r="F78" s="4">
        <v>154</v>
      </c>
      <c r="G78" s="3" t="s">
        <v>12</v>
      </c>
      <c r="H78" s="3" t="s">
        <v>13</v>
      </c>
      <c r="I78" t="str">
        <f>_xlfn.XLOOKUP(C78, clients!$A$2:$A$9, clients!$B$2:$B$9)</f>
        <v>Recurring</v>
      </c>
    </row>
    <row r="79" spans="1:9">
      <c r="A79" s="2">
        <v>46227</v>
      </c>
      <c r="B79" s="3" t="s">
        <v>108</v>
      </c>
      <c r="C79" s="3" t="s">
        <v>18</v>
      </c>
      <c r="D79" s="3" t="s">
        <v>45</v>
      </c>
      <c r="E79" s="3" t="s">
        <v>20</v>
      </c>
      <c r="F79" s="4">
        <v>118</v>
      </c>
      <c r="G79" s="3" t="s">
        <v>16</v>
      </c>
      <c r="H79" s="3" t="s">
        <v>13</v>
      </c>
      <c r="I79" t="str">
        <f>_xlfn.XLOOKUP(C79, clients!$A$2:$A$9, clients!$B$2:$B$9)</f>
        <v>New</v>
      </c>
    </row>
    <row r="80" spans="1:9">
      <c r="A80" s="2">
        <v>46232</v>
      </c>
      <c r="B80" s="3" t="s">
        <v>109</v>
      </c>
      <c r="C80" s="3" t="s">
        <v>32</v>
      </c>
      <c r="D80" s="3" t="s">
        <v>39</v>
      </c>
      <c r="E80" s="3" t="s">
        <v>34</v>
      </c>
      <c r="F80" s="4">
        <v>260</v>
      </c>
      <c r="G80" s="3" t="s">
        <v>16</v>
      </c>
      <c r="H80" s="3" t="s">
        <v>13</v>
      </c>
      <c r="I80" t="str">
        <f>_xlfn.XLOOKUP(C80, clients!$A$2:$A$9, clients!$B$2:$B$9)</f>
        <v>New</v>
      </c>
    </row>
    <row r="81" spans="1:9">
      <c r="A81" s="2">
        <v>46234</v>
      </c>
      <c r="B81" s="3" t="s">
        <v>110</v>
      </c>
      <c r="C81" s="3" t="s">
        <v>9</v>
      </c>
      <c r="D81" s="3" t="s">
        <v>10</v>
      </c>
      <c r="E81" s="3" t="s">
        <v>11</v>
      </c>
      <c r="F81" s="4">
        <v>459</v>
      </c>
      <c r="G81" s="3" t="s">
        <v>12</v>
      </c>
      <c r="H81" s="3" t="s">
        <v>46</v>
      </c>
      <c r="I81" t="str">
        <f>_xlfn.XLOOKUP(C81, clients!$A$2:$A$9, clients!$B$2:$B$9)</f>
        <v>Recurring</v>
      </c>
    </row>
    <row r="82" spans="1:9">
      <c r="A82" s="2">
        <v>46236</v>
      </c>
      <c r="B82" s="3" t="s">
        <v>111</v>
      </c>
      <c r="C82" s="3" t="s">
        <v>25</v>
      </c>
      <c r="D82" s="3" t="s">
        <v>39</v>
      </c>
      <c r="E82" s="3" t="s">
        <v>26</v>
      </c>
      <c r="F82" s="4">
        <v>356</v>
      </c>
      <c r="G82" s="3" t="s">
        <v>12</v>
      </c>
      <c r="H82" s="3" t="s">
        <v>13</v>
      </c>
      <c r="I82" t="str">
        <f>_xlfn.XLOOKUP(C82, clients!$A$2:$A$9, clients!$B$2:$B$9)</f>
        <v>Recurring</v>
      </c>
    </row>
    <row r="83" spans="1:9">
      <c r="A83" s="2">
        <v>46237</v>
      </c>
      <c r="B83" s="3" t="s">
        <v>112</v>
      </c>
      <c r="C83" s="3" t="s">
        <v>25</v>
      </c>
      <c r="D83" s="3" t="s">
        <v>45</v>
      </c>
      <c r="E83" s="3" t="s">
        <v>26</v>
      </c>
      <c r="F83" s="4">
        <v>79</v>
      </c>
      <c r="G83" s="3" t="s">
        <v>12</v>
      </c>
      <c r="H83" s="3" t="s">
        <v>13</v>
      </c>
      <c r="I83" t="str">
        <f>_xlfn.XLOOKUP(C83, clients!$A$2:$A$9, clients!$B$2:$B$9)</f>
        <v>Recurring</v>
      </c>
    </row>
    <row r="84" spans="1:9">
      <c r="A84" s="2">
        <v>46240</v>
      </c>
      <c r="B84" s="3" t="s">
        <v>113</v>
      </c>
      <c r="C84" s="3" t="s">
        <v>9</v>
      </c>
      <c r="D84" s="3" t="s">
        <v>33</v>
      </c>
      <c r="E84" s="3" t="s">
        <v>11</v>
      </c>
      <c r="F84" s="4">
        <v>154</v>
      </c>
      <c r="G84" s="3" t="s">
        <v>16</v>
      </c>
      <c r="H84" s="3" t="s">
        <v>13</v>
      </c>
      <c r="I84" t="str">
        <f>_xlfn.XLOOKUP(C84, clients!$A$2:$A$9, clients!$B$2:$B$9)</f>
        <v>Recurring</v>
      </c>
    </row>
    <row r="85" spans="1:9">
      <c r="A85" s="2">
        <v>46244</v>
      </c>
      <c r="B85" s="3" t="s">
        <v>114</v>
      </c>
      <c r="C85" s="3" t="s">
        <v>18</v>
      </c>
      <c r="D85" s="3" t="s">
        <v>37</v>
      </c>
      <c r="E85" s="3" t="s">
        <v>20</v>
      </c>
      <c r="F85" s="4">
        <v>133</v>
      </c>
      <c r="G85" s="3" t="s">
        <v>16</v>
      </c>
      <c r="H85" s="3" t="s">
        <v>13</v>
      </c>
      <c r="I85" t="str">
        <f>_xlfn.XLOOKUP(C85, clients!$A$2:$A$9, clients!$B$2:$B$9)</f>
        <v>New</v>
      </c>
    </row>
    <row r="86" spans="1:9">
      <c r="A86" s="2">
        <v>46248</v>
      </c>
      <c r="B86" s="3" t="s">
        <v>115</v>
      </c>
      <c r="C86" s="3" t="s">
        <v>32</v>
      </c>
      <c r="D86" s="3" t="s">
        <v>45</v>
      </c>
      <c r="E86" s="3" t="s">
        <v>34</v>
      </c>
      <c r="F86" s="4">
        <v>92</v>
      </c>
      <c r="G86" s="3" t="s">
        <v>12</v>
      </c>
      <c r="H86" s="3" t="s">
        <v>13</v>
      </c>
      <c r="I86" t="str">
        <f>_xlfn.XLOOKUP(C86, clients!$A$2:$A$9, clients!$B$2:$B$9)</f>
        <v>New</v>
      </c>
    </row>
    <row r="87" spans="1:9">
      <c r="A87" s="2">
        <v>46250</v>
      </c>
      <c r="B87" s="3" t="s">
        <v>116</v>
      </c>
      <c r="C87" s="3" t="s">
        <v>32</v>
      </c>
      <c r="D87" s="3" t="s">
        <v>33</v>
      </c>
      <c r="E87" s="3" t="s">
        <v>34</v>
      </c>
      <c r="F87" s="4">
        <v>102</v>
      </c>
      <c r="G87" s="3" t="s">
        <v>12</v>
      </c>
      <c r="H87" s="3" t="s">
        <v>13</v>
      </c>
      <c r="I87" t="str">
        <f>_xlfn.XLOOKUP(C87, clients!$A$2:$A$9, clients!$B$2:$B$9)</f>
        <v>New</v>
      </c>
    </row>
    <row r="88" spans="1:9">
      <c r="A88" s="2">
        <v>46253</v>
      </c>
      <c r="B88" s="3" t="s">
        <v>117</v>
      </c>
      <c r="C88" s="3" t="s">
        <v>68</v>
      </c>
      <c r="D88" s="3" t="s">
        <v>33</v>
      </c>
      <c r="E88" s="3" t="s">
        <v>34</v>
      </c>
      <c r="F88" s="4">
        <v>151</v>
      </c>
      <c r="G88" s="3" t="s">
        <v>16</v>
      </c>
      <c r="H88" s="3" t="s">
        <v>13</v>
      </c>
      <c r="I88" t="str">
        <f>_xlfn.XLOOKUP(C88, clients!$A$2:$A$9, clients!$B$2:$B$9)</f>
        <v>Recurring</v>
      </c>
    </row>
    <row r="89" spans="1:9">
      <c r="A89" s="2">
        <v>46258</v>
      </c>
      <c r="B89" s="3" t="s">
        <v>118</v>
      </c>
      <c r="C89" s="3" t="s">
        <v>28</v>
      </c>
      <c r="D89" s="3" t="s">
        <v>45</v>
      </c>
      <c r="E89" s="3" t="s">
        <v>11</v>
      </c>
      <c r="F89" s="4">
        <v>125</v>
      </c>
      <c r="G89" s="3" t="s">
        <v>16</v>
      </c>
      <c r="H89" s="3" t="s">
        <v>13</v>
      </c>
      <c r="I89" t="str">
        <f>_xlfn.XLOOKUP(C89, clients!$A$2:$A$9, clients!$B$2:$B$9)</f>
        <v>Recurring</v>
      </c>
    </row>
    <row r="90" spans="1:9">
      <c r="A90" s="2">
        <v>46258</v>
      </c>
      <c r="B90" s="3" t="s">
        <v>119</v>
      </c>
      <c r="C90" s="3" t="s">
        <v>9</v>
      </c>
      <c r="D90" s="3" t="s">
        <v>10</v>
      </c>
      <c r="E90" s="3" t="s">
        <v>11</v>
      </c>
      <c r="F90" s="4">
        <v>430</v>
      </c>
      <c r="G90" s="3" t="s">
        <v>12</v>
      </c>
      <c r="H90" s="3" t="s">
        <v>13</v>
      </c>
      <c r="I90" t="str">
        <f>_xlfn.XLOOKUP(C90, clients!$A$2:$A$9, clients!$B$2:$B$9)</f>
        <v>Recurring</v>
      </c>
    </row>
    <row r="91" spans="1:9">
      <c r="A91" s="2">
        <v>46263</v>
      </c>
      <c r="B91" s="3" t="s">
        <v>120</v>
      </c>
      <c r="C91" s="3" t="s">
        <v>28</v>
      </c>
      <c r="D91" s="3" t="s">
        <v>19</v>
      </c>
      <c r="E91" s="3" t="s">
        <v>11</v>
      </c>
      <c r="F91" s="4">
        <v>204</v>
      </c>
      <c r="G91" s="3" t="s">
        <v>12</v>
      </c>
      <c r="H91" s="3" t="s">
        <v>13</v>
      </c>
      <c r="I91" t="str">
        <f>_xlfn.XLOOKUP(C91, clients!$A$2:$A$9, clients!$B$2:$B$9)</f>
        <v>Recurring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22" customWidth="1"/>
    <col min="2" max="2" width="14" customWidth="1"/>
    <col min="3" max="3" width="12" customWidth="1"/>
  </cols>
  <sheetData>
    <row r="1" spans="1:3">
      <c r="A1" s="1" t="s">
        <v>2</v>
      </c>
      <c r="B1" s="1" t="s">
        <v>121</v>
      </c>
      <c r="C1" s="1" t="s">
        <v>4</v>
      </c>
    </row>
    <row r="2" spans="1:3">
      <c r="A2" s="3" t="s">
        <v>68</v>
      </c>
      <c r="B2" s="3" t="s">
        <v>122</v>
      </c>
      <c r="C2" s="3" t="s">
        <v>34</v>
      </c>
    </row>
    <row r="3" spans="1:3">
      <c r="A3" s="3" t="s">
        <v>28</v>
      </c>
      <c r="B3" s="3" t="s">
        <v>122</v>
      </c>
      <c r="C3" s="3" t="s">
        <v>11</v>
      </c>
    </row>
    <row r="4" spans="1:3">
      <c r="A4" s="3" t="s">
        <v>9</v>
      </c>
      <c r="B4" s="3" t="s">
        <v>122</v>
      </c>
      <c r="C4" s="3" t="s">
        <v>11</v>
      </c>
    </row>
    <row r="5" spans="1:3">
      <c r="A5" s="3" t="s">
        <v>32</v>
      </c>
      <c r="B5" s="3" t="s">
        <v>123</v>
      </c>
      <c r="C5" s="3" t="s">
        <v>34</v>
      </c>
    </row>
    <row r="6" spans="1:3">
      <c r="A6" s="3" t="s">
        <v>18</v>
      </c>
      <c r="B6" s="3" t="s">
        <v>123</v>
      </c>
      <c r="C6" s="3" t="s">
        <v>20</v>
      </c>
    </row>
    <row r="7" spans="1:3">
      <c r="A7" s="3" t="s">
        <v>25</v>
      </c>
      <c r="B7" s="3" t="s">
        <v>122</v>
      </c>
      <c r="C7" s="3" t="s">
        <v>26</v>
      </c>
    </row>
    <row r="8" spans="1:3">
      <c r="A8" s="3" t="s">
        <v>22</v>
      </c>
      <c r="B8" s="3" t="s">
        <v>123</v>
      </c>
      <c r="C8" s="3" t="s">
        <v>23</v>
      </c>
    </row>
    <row r="9" spans="1:3">
      <c r="A9" s="3" t="s">
        <v>15</v>
      </c>
      <c r="B9" s="3" t="s">
        <v>123</v>
      </c>
      <c r="C9" s="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Order Analysis</vt:lpstr>
      <vt:lpstr>orders</vt:lpstr>
      <vt:lpstr>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 Anastasiia Tkachenko (TL_KCOMP_B_Y3)</cp:lastModifiedBy>
  <dcterms:created xsi:type="dcterms:W3CDTF">2026-09-13T19:18:45Z</dcterms:created>
  <dcterms:modified xsi:type="dcterms:W3CDTF">2026-09-15T17:41:02Z</dcterms:modified>
</cp:coreProperties>
</file>